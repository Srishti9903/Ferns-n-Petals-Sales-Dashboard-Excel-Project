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C89C5C44FB721FFD/Documents/"/>
    </mc:Choice>
  </mc:AlternateContent>
  <xr:revisionPtr revIDLastSave="16" documentId="8_{7D033B83-DDBB-44A9-A1A0-884FEC64B2E4}" xr6:coauthVersionLast="47" xr6:coauthVersionMax="47" xr10:uidLastSave="{CA353F31-CC33-40A1-929C-DEDF80BDFA9D}"/>
  <bookViews>
    <workbookView xWindow="-108" yWindow="-108" windowWidth="23256" windowHeight="12456" firstSheet="1" activeTab="2" xr2:uid="{B6076D20-2AE5-43AE-812C-345359D2FEE4}"/>
  </bookViews>
  <sheets>
    <sheet name="fnb datasets" sheetId="2" state="hidden" r:id="rId1"/>
    <sheet name="Customers" sheetId="3" r:id="rId2"/>
    <sheet name="Orders" sheetId="4" r:id="rId3"/>
    <sheet name="Products" sheetId="5" r:id="rId4"/>
    <sheet name="Pivot" sheetId="1" r:id="rId5"/>
    <sheet name="Dashboard" sheetId="6" r:id="rId6"/>
  </sheets>
  <definedNames>
    <definedName name="ExternalData_1" localSheetId="0" hidden="1">'fnb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b datasets_9bfd8feb-b469-4f48-acd9-5d7d001c508f" name="fnb datasets" connection="Query - fnb datasets"/>
          <x15:modelTable id="Customers_31e9e054-8ad3-4137-80d7-b8cadb26baed" name="Customers" connection="Query - Customers"/>
          <x15:modelTable id="Orders_0808ed4f-e933-4141-aefe-fe54d7fb3fac" name="Orders" connection="Query - Orders"/>
          <x15:modelTable id="Products_8bc0c4dd-fff6-443e-a4ec-f28e6582d3c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880CE1-5AE4-4896-8D7C-3E9D1871BD3F}" keepAlive="1" name="ModelConnection_ExternalData_1" description="Data Model" type="5" refreshedVersion="8" minRefreshableVersion="5" saveData="1">
    <dbPr connection="Data Model Connection" command="fnb datasets" commandType="3"/>
    <extLst>
      <ext xmlns:x15="http://schemas.microsoft.com/office/spreadsheetml/2010/11/main" uri="{DE250136-89BD-433C-8126-D09CA5730AF9}">
        <x15:connection id="" model="1"/>
      </ext>
    </extLst>
  </connection>
  <connection id="2" xr16:uid="{B1D46748-0409-443E-93AC-CF129999F41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500A4B9-ABEA-4477-B69C-2C7A2C1E7FE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2B55DF8-1E11-49D9-AB2A-3296CF5BE7B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0828E92-A4EF-486C-B48D-F7518C311912}" name="Query - Customers" description="Connection to the 'Customers' query in the workbook." type="100" refreshedVersion="8" minRefreshableVersion="5">
    <extLst>
      <ext xmlns:x15="http://schemas.microsoft.com/office/spreadsheetml/2010/11/main" uri="{DE250136-89BD-433C-8126-D09CA5730AF9}">
        <x15:connection id="38913aac-8c4d-4ef3-9eab-6e42c45b1a12"/>
      </ext>
    </extLst>
  </connection>
  <connection id="6" xr16:uid="{A12D207E-5DE4-47BC-84A9-58D05233BD8D}" name="Query - fnb datasets" description="Connection to the 'fnb datasets' query in the workbook." type="100" refreshedVersion="8" minRefreshableVersion="5">
    <extLst>
      <ext xmlns:x15="http://schemas.microsoft.com/office/spreadsheetml/2010/11/main" uri="{DE250136-89BD-433C-8126-D09CA5730AF9}">
        <x15:connection id="6a2132c4-a2fd-498f-8c70-2a8be967c459"/>
      </ext>
    </extLst>
  </connection>
  <connection id="7" xr16:uid="{98346BD1-97D0-485E-98D4-19BBB3F7D2BB}" name="Query - Orders" description="Connection to the 'Orders' query in the workbook." type="100" refreshedVersion="8" minRefreshableVersion="5">
    <extLst>
      <ext xmlns:x15="http://schemas.microsoft.com/office/spreadsheetml/2010/11/main" uri="{DE250136-89BD-433C-8126-D09CA5730AF9}">
        <x15:connection id="663a4445-d614-4d0e-b758-e246b98ffafe"/>
      </ext>
    </extLst>
  </connection>
  <connection id="8" xr16:uid="{7F5F19E7-C9D9-4EBC-9246-5004B23FAAA3}" name="Query - Products" description="Connection to the 'Products' query in the workbook." type="100" refreshedVersion="8" minRefreshableVersion="5">
    <extLst>
      <ext xmlns:x15="http://schemas.microsoft.com/office/spreadsheetml/2010/11/main" uri="{DE250136-89BD-433C-8126-D09CA5730AF9}">
        <x15:connection id="0ed44c22-4584-44c3-9898-225d6275ac72"/>
      </ext>
    </extLst>
  </connection>
  <connection id="9" xr16:uid="{4F5F1DA5-CAD1-4CD5-852A-20326022D9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<sst xmlns="http://schemas.openxmlformats.org/spreadsheetml/2006/main" count="6017" uniqueCount="948">
  <si>
    <t>Name</t>
  </si>
  <si>
    <t>Extension</t>
  </si>
  <si>
    <t>Date accessed</t>
  </si>
  <si>
    <t>Date modified</t>
  </si>
  <si>
    <t>Date created</t>
  </si>
  <si>
    <t>Folder Path</t>
  </si>
  <si>
    <t>customers.csv</t>
  </si>
  <si>
    <t>.csv</t>
  </si>
  <si>
    <t>C:\Users\SRISHTI SAHA\Downloads\fnb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</si>
  <si>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</si>
  <si>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</si>
  <si>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</si>
  <si>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</si>
  <si>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</si>
  <si>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</si>
  <si>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</si>
  <si>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</si>
  <si>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</si>
  <si>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</si>
  <si>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</si>
  <si>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</si>
  <si>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</si>
  <si>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</si>
  <si>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</si>
  <si>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</si>
  <si>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</si>
  <si>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</si>
  <si>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</si>
  <si>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</si>
  <si>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</si>
  <si>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</si>
  <si>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</si>
  <si>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</si>
  <si>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</si>
  <si>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</si>
  <si>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</si>
  <si>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</si>
  <si>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</si>
  <si>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</si>
  <si>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</si>
  <si>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</si>
  <si>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</si>
  <si>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</si>
  <si>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</si>
  <si>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</si>
  <si>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</si>
  <si>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</si>
  <si>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</si>
  <si>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</si>
  <si>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</si>
  <si>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</si>
  <si>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</si>
  <si>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</si>
  <si>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</si>
  <si>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</si>
  <si>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</si>
  <si>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</si>
  <si>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</si>
  <si>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</si>
  <si>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</si>
  <si>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</si>
  <si>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</si>
  <si>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</si>
  <si>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</si>
  <si>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</si>
  <si>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</si>
  <si>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</si>
  <si>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</si>
  <si>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</si>
  <si>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</si>
  <si>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</si>
  <si>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</si>
  <si>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</si>
  <si>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</si>
  <si>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</si>
  <si>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</si>
  <si>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</si>
  <si>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</si>
  <si>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</si>
  <si>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</si>
  <si>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</si>
  <si>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</si>
  <si>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</si>
  <si>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</si>
  <si>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</si>
  <si>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</si>
  <si>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</si>
  <si>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</si>
  <si>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</si>
  <si>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</si>
  <si>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</si>
  <si>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</si>
  <si>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</si>
  <si>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</si>
  <si>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</si>
  <si>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</si>
  <si>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</si>
  <si>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</si>
  <si>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</si>
  <si>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</si>
  <si>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</si>
  <si>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</si>
  <si>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</si>
  <si>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</si>
  <si>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</si>
  <si>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</si>
  <si>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</si>
  <si>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</si>
  <si>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</si>
  <si>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</si>
  <si>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</si>
  <si>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</si>
  <si>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</si>
  <si>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</si>
  <si>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</si>
  <si>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</si>
  <si>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</si>
  <si>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</si>
  <si>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</si>
  <si>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</si>
  <si>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</si>
  <si>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</si>
  <si>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</si>
  <si>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</si>
  <si>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</si>
  <si>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</si>
  <si>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</si>
  <si>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</si>
  <si>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</si>
  <si>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</si>
  <si>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</si>
  <si>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</si>
  <si>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</si>
  <si>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</si>
  <si>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</si>
  <si>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</si>
  <si>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</si>
  <si>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</si>
  <si>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</si>
  <si>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</si>
  <si>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</si>
  <si>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</si>
  <si>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</si>
  <si>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</si>
  <si>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</si>
  <si>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</si>
  <si>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</si>
  <si>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</si>
  <si>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</si>
  <si>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</si>
  <si>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</si>
  <si>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</si>
  <si>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</si>
  <si>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</si>
  <si>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</si>
  <si>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</si>
  <si>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</si>
  <si>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</si>
  <si>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</si>
  <si>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</si>
  <si>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</si>
  <si>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</si>
  <si>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</si>
  <si>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</si>
  <si>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</si>
  <si>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</si>
  <si>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</si>
  <si>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</si>
  <si>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</si>
  <si>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</si>
  <si>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</si>
  <si>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</si>
  <si>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</si>
  <si>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</si>
  <si>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</si>
  <si>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</si>
  <si>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</si>
  <si>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</si>
  <si>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</si>
  <si>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</si>
  <si>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</si>
  <si>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</si>
  <si>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</si>
  <si>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</si>
  <si>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</si>
  <si>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</si>
  <si>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</si>
  <si>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</si>
  <si>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</si>
  <si>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</si>
  <si>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</si>
  <si>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</si>
  <si>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</si>
  <si>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</si>
  <si>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</si>
  <si>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</si>
  <si>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</si>
  <si>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</si>
  <si>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</si>
  <si>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</si>
  <si>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</si>
  <si>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</si>
  <si>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</si>
  <si>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</si>
  <si>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</si>
  <si>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</si>
  <si>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</si>
  <si>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</si>
  <si>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</si>
  <si>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</si>
  <si>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</si>
  <si>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</si>
  <si>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</si>
  <si>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</si>
  <si>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</si>
  <si>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</si>
  <si>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</si>
  <si>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</si>
  <si>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</si>
  <si>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</si>
  <si>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</si>
  <si>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</si>
  <si>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</si>
  <si>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</si>
  <si>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</si>
  <si>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</si>
  <si>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</si>
  <si>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</si>
  <si>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</si>
  <si>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</si>
  <si>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</si>
  <si>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</si>
  <si>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</si>
  <si>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</si>
  <si>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</si>
  <si>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</si>
  <si>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</si>
  <si>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</si>
  <si>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</si>
  <si>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</si>
  <si>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</si>
  <si>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</si>
  <si>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</si>
  <si>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</si>
  <si>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</si>
  <si>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</si>
  <si>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</si>
  <si>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</si>
  <si>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</si>
  <si>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</si>
  <si>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</si>
  <si>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</si>
  <si>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</si>
  <si>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</si>
  <si>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</si>
  <si>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</si>
  <si>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</si>
  <si>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</si>
  <si>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</si>
  <si>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</si>
  <si>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</si>
  <si>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</si>
  <si>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</si>
  <si>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</si>
  <si>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</si>
  <si>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</si>
  <si>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</si>
  <si>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</si>
  <si>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</si>
  <si>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</si>
  <si>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</si>
  <si>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</si>
  <si>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</si>
  <si>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</si>
  <si>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</si>
  <si>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</si>
  <si>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</si>
  <si>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</si>
  <si>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</si>
  <si>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</si>
  <si>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</si>
  <si>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</si>
  <si>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</si>
  <si>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</si>
  <si>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</si>
  <si>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</si>
  <si>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</si>
  <si>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</si>
  <si>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</si>
  <si>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</si>
  <si>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</si>
  <si>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</si>
  <si>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</si>
  <si>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</si>
  <si>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</si>
  <si>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</si>
  <si>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</si>
  <si>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</si>
  <si>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</si>
  <si>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</si>
  <si>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</si>
  <si>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</si>
  <si>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</si>
  <si>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</si>
  <si>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</si>
  <si>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</si>
  <si>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</si>
  <si>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</si>
  <si>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</si>
  <si>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</si>
  <si>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</si>
  <si>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</si>
  <si>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</si>
  <si>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</si>
  <si>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</si>
  <si>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</si>
  <si>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</si>
  <si>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</si>
  <si>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</si>
  <si>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</si>
  <si>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</si>
  <si>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</si>
  <si>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</si>
  <si>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</si>
  <si>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</si>
  <si>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</si>
  <si>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</si>
  <si>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</si>
  <si>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</si>
  <si>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</si>
  <si>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</si>
  <si>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</si>
  <si>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</si>
  <si>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</si>
  <si>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</si>
  <si>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</si>
  <si>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</si>
  <si>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</si>
  <si>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</si>
  <si>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</si>
  <si>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</si>
  <si>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</si>
  <si>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</si>
  <si>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</si>
  <si>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</si>
  <si>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</si>
  <si>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</si>
  <si>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</si>
  <si>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</si>
  <si>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</si>
  <si>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</si>
  <si>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</si>
  <si>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</si>
  <si>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</si>
  <si>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</si>
  <si>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</si>
  <si>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</si>
  <si>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</si>
  <si>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</si>
  <si>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</si>
  <si>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</si>
  <si>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</si>
  <si>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</si>
  <si>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</si>
  <si>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</si>
  <si>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</si>
  <si>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</si>
  <si>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</si>
  <si>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</si>
  <si>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</si>
  <si>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</si>
  <si>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</si>
  <si>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</si>
  <si>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</si>
  <si>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</si>
  <si>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</si>
  <si>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</si>
  <si>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</si>
  <si>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</si>
  <si>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</si>
  <si>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</si>
  <si>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</si>
  <si>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</si>
  <si>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</si>
  <si>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</si>
  <si>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</si>
  <si>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</si>
  <si>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</si>
  <si>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</si>
  <si>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</si>
  <si>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</si>
  <si>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</si>
  <si>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</si>
  <si>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</si>
  <si>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</si>
  <si>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</si>
  <si>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</si>
  <si>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</si>
  <si>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</si>
  <si>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</si>
  <si>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</si>
  <si>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</si>
  <si>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</si>
  <si>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</si>
  <si>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</si>
  <si>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</si>
  <si>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</si>
  <si>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</si>
  <si>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</si>
  <si>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</si>
  <si>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</si>
  <si>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</si>
  <si>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</si>
  <si>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</si>
  <si>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</si>
  <si>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</si>
  <si>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</si>
  <si>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</si>
  <si>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</si>
  <si>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</si>
  <si>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</si>
  <si>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</si>
  <si>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</si>
  <si>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</si>
  <si>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</si>
  <si>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</si>
  <si>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</si>
  <si>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</si>
  <si>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</si>
  <si>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</si>
  <si>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</si>
  <si>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</si>
  <si>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</si>
  <si>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</si>
  <si>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</si>
  <si>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</si>
  <si>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</si>
  <si>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</si>
  <si>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</si>
  <si>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</si>
  <si>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</si>
  <si>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</si>
  <si>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</si>
  <si>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</si>
  <si>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</si>
  <si>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</si>
  <si>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</si>
  <si>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</si>
  <si>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</si>
  <si>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</si>
  <si>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</si>
  <si>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</si>
  <si>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</si>
  <si>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</si>
  <si>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</si>
  <si>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</si>
  <si>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</si>
  <si>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</si>
  <si>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</si>
  <si>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</si>
  <si>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</si>
  <si>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</si>
  <si>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</si>
  <si>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</si>
  <si>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</si>
  <si>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</si>
  <si>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</si>
  <si>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</si>
  <si>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</si>
  <si>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</si>
  <si>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</si>
  <si>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</si>
  <si>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</si>
  <si>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</si>
  <si>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</si>
  <si>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</si>
  <si>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</si>
  <si>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</si>
  <si>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</si>
  <si>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</si>
  <si>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</si>
  <si>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</si>
  <si>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</si>
  <si>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</si>
  <si>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</si>
  <si>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</si>
  <si>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</si>
  <si>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</si>
  <si>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</si>
  <si>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</si>
  <si>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</si>
  <si>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</si>
  <si>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</si>
  <si>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</si>
  <si>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</si>
  <si>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</si>
  <si>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</si>
  <si>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</si>
  <si>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</si>
  <si>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</si>
  <si>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</si>
  <si>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</si>
  <si>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</si>
  <si>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</si>
  <si>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</si>
  <si>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</si>
  <si>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</si>
  <si>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</si>
  <si>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</si>
  <si>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</si>
  <si>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</si>
  <si>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</si>
  <si>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</si>
  <si>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</si>
  <si>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</si>
  <si>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</si>
  <si>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</si>
  <si>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</si>
  <si>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</si>
  <si>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</si>
  <si>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</si>
  <si>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</si>
  <si>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</si>
  <si>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</si>
  <si>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</si>
  <si>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</si>
  <si>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</si>
  <si>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</si>
  <si>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</si>
  <si>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</si>
  <si>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</si>
  <si>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</si>
  <si>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</si>
  <si>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</si>
  <si>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</si>
  <si>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</si>
  <si>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</si>
  <si>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</si>
  <si>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</si>
  <si>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</si>
  <si>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</si>
  <si>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</si>
  <si>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</si>
  <si>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</si>
  <si>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</si>
  <si>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</si>
  <si>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</si>
  <si>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</si>
  <si>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</si>
  <si>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</si>
  <si>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</si>
  <si>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</si>
  <si>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</si>
  <si>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</si>
  <si>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</si>
  <si>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</si>
  <si>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</si>
  <si>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</si>
  <si>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</si>
  <si>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</si>
  <si>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</si>
  <si>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</si>
  <si>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</si>
  <si>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</si>
  <si>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</si>
  <si>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</si>
  <si>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</si>
  <si>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</si>
  <si>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</si>
  <si>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</si>
  <si>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</si>
  <si>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</si>
  <si>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</si>
  <si>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</si>
  <si>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</si>
  <si>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</si>
  <si>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</si>
  <si>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</si>
  <si>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</si>
  <si>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</si>
  <si>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</si>
  <si>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</si>
  <si>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</si>
  <si>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</si>
  <si>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</si>
  <si>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</si>
  <si>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</si>
  <si>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</si>
  <si>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</si>
  <si>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</si>
  <si>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</si>
  <si>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</si>
  <si>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</si>
  <si>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</si>
  <si>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</si>
  <si>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</si>
  <si>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</si>
  <si>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</si>
  <si>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</si>
  <si>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</si>
  <si>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</si>
  <si>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</si>
  <si>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</si>
  <si>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</si>
  <si>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</si>
  <si>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</si>
  <si>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</si>
  <si>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</si>
  <si>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</si>
  <si>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</si>
  <si>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</si>
  <si>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</si>
  <si>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</si>
  <si>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</si>
  <si>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</si>
  <si>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</si>
  <si>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</si>
  <si>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</si>
  <si>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</si>
  <si>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</si>
  <si>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</si>
  <si>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</si>
  <si>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</si>
  <si>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</si>
  <si>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</si>
  <si>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</si>
  <si>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</si>
  <si>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</si>
  <si>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</si>
  <si>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</si>
  <si>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</si>
  <si>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</si>
  <si>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</si>
  <si>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</si>
  <si>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</si>
  <si>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</si>
  <si>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</si>
  <si>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</si>
  <si>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</si>
  <si>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</si>
  <si>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</si>
  <si>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</si>
  <si>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</si>
  <si>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</si>
  <si>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</si>
  <si>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</si>
  <si>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</si>
  <si>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</si>
  <si>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</si>
  <si>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</si>
  <si>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</si>
  <si>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</si>
  <si>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</si>
  <si>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</si>
  <si>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</si>
  <si>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</si>
  <si>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</si>
  <si>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</si>
  <si>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</si>
  <si>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</si>
  <si>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</si>
  <si>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</si>
  <si>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</si>
  <si>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</si>
  <si>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</si>
  <si>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</si>
  <si>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</si>
  <si>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</si>
  <si>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</si>
  <si>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</si>
  <si>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</si>
  <si>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</si>
  <si>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</si>
  <si>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</si>
  <si>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</si>
  <si>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</si>
  <si>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</si>
  <si>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</si>
  <si>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</si>
  <si>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</si>
  <si>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</si>
  <si>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</si>
  <si>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</si>
  <si>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</si>
  <si>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</si>
  <si>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</si>
  <si>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</si>
  <si>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</si>
  <si>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</si>
  <si>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</si>
  <si>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</si>
  <si>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</si>
  <si>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</si>
  <si>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</si>
  <si>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</si>
  <si>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</si>
  <si>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</si>
  <si>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</si>
  <si>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</si>
  <si>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</si>
  <si>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</si>
  <si>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</si>
  <si>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</si>
  <si>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</si>
  <si>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</si>
  <si>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</si>
  <si>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</si>
  <si>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</si>
  <si>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</si>
  <si>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</si>
  <si>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</si>
  <si>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</si>
  <si>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</si>
  <si>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</si>
  <si>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</si>
  <si>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</si>
  <si>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</si>
  <si>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</si>
  <si>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</si>
  <si>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</si>
  <si>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</si>
  <si>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</si>
  <si>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</si>
  <si>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</si>
  <si>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</si>
  <si>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</si>
  <si>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</si>
  <si>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</si>
  <si>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</si>
  <si>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</si>
  <si>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</si>
  <si>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</si>
  <si>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</si>
  <si>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</si>
  <si>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</si>
  <si>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</si>
  <si>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</si>
  <si>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</si>
  <si>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</si>
  <si>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</si>
  <si>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</si>
  <si>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</si>
  <si>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</si>
  <si>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</si>
  <si>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</si>
  <si>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</si>
  <si>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</si>
  <si>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</si>
  <si>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</si>
  <si>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</si>
  <si>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</si>
  <si>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</si>
  <si>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</si>
  <si>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</si>
  <si>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</si>
  <si>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</si>
  <si>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</si>
  <si>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</si>
  <si>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</si>
  <si>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</si>
  <si>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</si>
  <si>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</si>
  <si>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</si>
  <si>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</si>
  <si>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</si>
  <si>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</si>
  <si>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</si>
  <si>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</si>
  <si>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</si>
  <si>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</si>
  <si>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</si>
  <si>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</si>
  <si>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</si>
  <si>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</si>
  <si>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</si>
  <si>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</si>
  <si>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</si>
  <si>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</si>
  <si>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</si>
  <si>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</si>
  <si>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</si>
  <si>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</si>
  <si>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</si>
  <si>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</si>
  <si>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</si>
  <si>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</si>
  <si>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</si>
  <si>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</si>
  <si>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</si>
  <si>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</si>
  <si>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</si>
  <si>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</si>
  <si>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</si>
  <si>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</si>
  <si>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</si>
  <si>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</si>
  <si>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</si>
  <si>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</si>
  <si>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</si>
  <si>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</si>
  <si>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</si>
  <si>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</si>
  <si>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</si>
  <si>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</si>
  <si>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</si>
  <si>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</si>
  <si>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</si>
  <si>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</si>
  <si>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</si>
  <si>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</si>
  <si>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</si>
  <si>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</si>
  <si>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</si>
  <si>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</si>
  <si>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</si>
  <si>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</si>
  <si>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</si>
  <si>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</si>
  <si>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</si>
  <si>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</si>
  <si>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</si>
  <si>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</si>
  <si>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</si>
  <si>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</si>
  <si>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</si>
  <si>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</si>
  <si>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</si>
  <si>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</si>
  <si>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</si>
  <si>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</si>
  <si>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</si>
  <si>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</si>
  <si>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</si>
  <si>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</si>
  <si>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</si>
  <si>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</si>
  <si>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</si>
  <si>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</si>
  <si>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</si>
  <si>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</si>
  <si>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</si>
  <si>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</si>
  <si>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</si>
  <si>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</si>
  <si>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</si>
  <si>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</si>
  <si>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</si>
  <si>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</si>
  <si>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</si>
  <si>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</si>
  <si>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</si>
  <si>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</si>
  <si>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</si>
  <si>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</si>
  <si>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</si>
  <si>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</si>
  <si>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</si>
  <si>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</si>
  <si>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</si>
  <si>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</si>
  <si>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</si>
  <si>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</si>
  <si>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</si>
  <si>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</si>
  <si>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</si>
  <si>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</si>
  <si>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</si>
  <si>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</si>
  <si>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</si>
  <si>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</si>
  <si>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</si>
  <si>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</si>
  <si>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</si>
  <si>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</si>
  <si>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</si>
  <si>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</si>
  <si>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</si>
  <si>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</si>
  <si>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</si>
  <si>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</si>
  <si>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</si>
  <si>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</si>
  <si>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</si>
  <si>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</si>
  <si>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</si>
  <si>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</si>
  <si>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</si>
  <si>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</si>
  <si>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</si>
  <si>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</si>
  <si>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</si>
  <si>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</si>
  <si>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</si>
  <si>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</si>
  <si>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</si>
  <si>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</si>
  <si>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</si>
  <si>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</si>
  <si>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</si>
  <si>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</si>
  <si>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</si>
  <si>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</si>
  <si>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</si>
  <si>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</si>
  <si>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</si>
  <si>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</si>
  <si>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</si>
  <si>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</si>
  <si>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</si>
  <si>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</si>
  <si>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</si>
  <si>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</si>
  <si>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</si>
  <si>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</si>
  <si>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</si>
  <si>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</si>
  <si>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</si>
  <si>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</si>
  <si>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</si>
  <si>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</si>
  <si>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</si>
  <si>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</si>
  <si>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</si>
  <si>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</si>
  <si>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</si>
  <si>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</si>
  <si>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</si>
  <si>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</si>
  <si>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</si>
  <si>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</si>
  <si>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</si>
  <si>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</si>
  <si>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</si>
  <si>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</si>
  <si>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</si>
  <si>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</si>
  <si>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</si>
  <si>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</si>
  <si>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</si>
  <si>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</si>
  <si>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</si>
  <si>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</si>
  <si>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</si>
  <si>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</si>
  <si>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</si>
  <si>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Customers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</si>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</sst>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Pivot!$I$18</c:f>
              <c:strCache>
                <c:ptCount val="1"/>
                <c:pt idx="0">
                  <c:v>Total</c:v>
                </c:pt>
              </c:strCache>
            </c:strRef>
          </c:tx>
          <c:spPr>
            <a:solidFill>
              <a:schemeClr val="accent1"/>
            </a:solidFill>
            <a:ln>
              <a:noFill/>
            </a:ln>
            <a:effectLst/>
          </c:spPr>
          <c:invertIfNegative val="0"/>
          <c:cat>
            <c:strRef>
              <c:f>Pivot!$H$19:$H$26</c:f>
              <c:strCache>
                <c:ptCount val="7"/>
                <c:pt idx="0">
                  <c:v>All Occasions</c:v>
                </c:pt>
                <c:pt idx="1">
                  <c:v>Anniversary</c:v>
                </c:pt>
                <c:pt idx="2">
                  <c:v>Birthday</c:v>
                </c:pt>
                <c:pt idx="3">
                  <c:v>Diwali</c:v>
                </c:pt>
                <c:pt idx="4">
                  <c:v>Holi</c:v>
                </c:pt>
                <c:pt idx="5">
                  <c:v>Raksha Bandhan</c:v>
                </c:pt>
                <c:pt idx="6">
                  <c:v>Valentine's Day</c:v>
                </c:pt>
              </c:strCache>
            </c:strRef>
          </c:cat>
          <c:val>
            <c:numRef>
              <c:f>Pivot!$I$19:$I$26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C-740E-469E-BEF6-5D32F33E31DA}"/>
            </c:ext>
          </c:extLst>
        </c:ser>
        <c:dLbls>
          <c:showLegendKey val="0"/>
          <c:showVal val="0"/>
          <c:showCatName val="0"/>
          <c:showSerName val="0"/>
          <c:showPercent val="0"/>
          <c:showBubbleSize val="0"/>
        </c:dLbls>
        <c:gapWidth val="219"/>
        <c:overlap val="-27"/>
        <c:axId val="1731535104"/>
        <c:axId val="1731529344"/>
      </c:barChart>
      <c:catAx>
        <c:axId val="17315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29344"/>
        <c:crosses val="autoZero"/>
        <c:auto val="1"/>
        <c:lblAlgn val="ctr"/>
        <c:lblOffset val="100"/>
        <c:noMultiLvlLbl val="0"/>
      </c:catAx>
      <c:valAx>
        <c:axId val="1731529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3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f>
              <c:strCache>
                <c:ptCount val="1"/>
                <c:pt idx="0">
                  <c:v>Total</c:v>
                </c:pt>
              </c:strCache>
            </c:strRef>
          </c:tx>
          <c:spPr>
            <a:solidFill>
              <a:schemeClr val="accent1"/>
            </a:solidFill>
            <a:ln>
              <a:noFill/>
            </a:ln>
            <a:effectLst/>
          </c:spPr>
          <c:invertIfNegative val="0"/>
          <c:cat>
            <c:strRef>
              <c:f>Pivot!$B$19:$B$26</c:f>
              <c:strCache>
                <c:ptCount val="7"/>
                <c:pt idx="0">
                  <c:v>Cake</c:v>
                </c:pt>
                <c:pt idx="1">
                  <c:v>Colors</c:v>
                </c:pt>
                <c:pt idx="2">
                  <c:v>Mugs</c:v>
                </c:pt>
                <c:pt idx="3">
                  <c:v>Plants</c:v>
                </c:pt>
                <c:pt idx="4">
                  <c:v>Raksha Bandhan</c:v>
                </c:pt>
                <c:pt idx="5">
                  <c:v>Soft Toys</c:v>
                </c:pt>
                <c:pt idx="6">
                  <c:v>Sweets</c:v>
                </c:pt>
              </c:strCache>
            </c:strRef>
          </c:cat>
          <c:val>
            <c:numRef>
              <c:f>Pivot!$C$19:$C$26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0D51-4049-A9B1-C92F88D18CB0}"/>
            </c:ext>
          </c:extLst>
        </c:ser>
        <c:dLbls>
          <c:showLegendKey val="0"/>
          <c:showVal val="0"/>
          <c:showCatName val="0"/>
          <c:showSerName val="0"/>
          <c:showPercent val="0"/>
          <c:showBubbleSize val="0"/>
        </c:dLbls>
        <c:gapWidth val="219"/>
        <c:overlap val="-27"/>
        <c:axId val="1731545664"/>
        <c:axId val="1731546624"/>
      </c:barChart>
      <c:catAx>
        <c:axId val="173154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46624"/>
        <c:crosses val="autoZero"/>
        <c:auto val="1"/>
        <c:lblAlgn val="ctr"/>
        <c:lblOffset val="100"/>
        <c:noMultiLvlLbl val="0"/>
      </c:catAx>
      <c:valAx>
        <c:axId val="173154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4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c:f>
              <c:strCache>
                <c:ptCount val="1"/>
                <c:pt idx="0">
                  <c:v>Total</c:v>
                </c:pt>
              </c:strCache>
            </c:strRef>
          </c:tx>
          <c:spPr>
            <a:ln w="28575" cap="rnd">
              <a:solidFill>
                <a:schemeClr val="accent1"/>
              </a:solidFill>
              <a:round/>
            </a:ln>
            <a:effectLst/>
          </c:spPr>
          <c:marker>
            <c:symbol val="none"/>
          </c:marker>
          <c:cat>
            <c:strRef>
              <c:f>Pivot!$B$2:$B$14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E-4D6F-4EEB-BBDA-0225D269F18E}"/>
            </c:ext>
          </c:extLst>
        </c:ser>
        <c:dLbls>
          <c:showLegendKey val="0"/>
          <c:showVal val="0"/>
          <c:showCatName val="0"/>
          <c:showSerName val="0"/>
          <c:showPercent val="0"/>
          <c:showBubbleSize val="0"/>
        </c:dLbls>
        <c:smooth val="0"/>
        <c:axId val="1731555744"/>
        <c:axId val="1731558144"/>
      </c:lineChart>
      <c:catAx>
        <c:axId val="173155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58144"/>
        <c:crosses val="autoZero"/>
        <c:auto val="1"/>
        <c:lblAlgn val="ctr"/>
        <c:lblOffset val="100"/>
        <c:noMultiLvlLbl val="0"/>
      </c:catAx>
      <c:valAx>
        <c:axId val="1731558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5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Top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c:f>
              <c:strCache>
                <c:ptCount val="1"/>
                <c:pt idx="0">
                  <c:v>Total</c:v>
                </c:pt>
              </c:strCache>
            </c:strRef>
          </c:tx>
          <c:spPr>
            <a:solidFill>
              <a:schemeClr val="accent1"/>
            </a:solidFill>
            <a:ln>
              <a:noFill/>
            </a:ln>
            <a:effectLst/>
          </c:spPr>
          <c:invertIfNegative val="0"/>
          <c:cat>
            <c:strRef>
              <c:f>Pivot!$E$6:$E$11</c:f>
              <c:strCache>
                <c:ptCount val="5"/>
                <c:pt idx="0">
                  <c:v>Deserunt Box</c:v>
                </c:pt>
                <c:pt idx="1">
                  <c:v>Dolores Gift</c:v>
                </c:pt>
                <c:pt idx="2">
                  <c:v>Harum Pack</c:v>
                </c:pt>
                <c:pt idx="3">
                  <c:v>Magnam Set</c:v>
                </c:pt>
                <c:pt idx="4">
                  <c:v>Quia Gift</c:v>
                </c:pt>
              </c:strCache>
            </c:strRef>
          </c:cat>
          <c:val>
            <c:numRef>
              <c:f>Pivot!$F$6:$F$11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E-849C-4FF6-B019-145A9E32F991}"/>
            </c:ext>
          </c:extLst>
        </c:ser>
        <c:dLbls>
          <c:showLegendKey val="0"/>
          <c:showVal val="0"/>
          <c:showCatName val="0"/>
          <c:showSerName val="0"/>
          <c:showPercent val="0"/>
          <c:showBubbleSize val="0"/>
        </c:dLbls>
        <c:gapWidth val="219"/>
        <c:overlap val="-27"/>
        <c:axId val="1731508704"/>
        <c:axId val="1731508224"/>
      </c:barChart>
      <c:catAx>
        <c:axId val="173150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08224"/>
        <c:crosses val="autoZero"/>
        <c:auto val="1"/>
        <c:lblAlgn val="ctr"/>
        <c:lblOffset val="100"/>
        <c:noMultiLvlLbl val="0"/>
      </c:catAx>
      <c:valAx>
        <c:axId val="173150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0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Pivot!$F$18</c:f>
              <c:strCache>
                <c:ptCount val="1"/>
                <c:pt idx="0">
                  <c:v>Total</c:v>
                </c:pt>
              </c:strCache>
            </c:strRef>
          </c:tx>
          <c:spPr>
            <a:solidFill>
              <a:schemeClr val="accent1"/>
            </a:solidFill>
            <a:ln>
              <a:noFill/>
            </a:ln>
            <a:effectLst/>
          </c:spPr>
          <c:invertIfNegative val="0"/>
          <c:cat>
            <c:strRef>
              <c:f>Pivot!$E$19:$E$29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E-4059-48E0-A048-5FA77D1F8A13}"/>
            </c:ext>
          </c:extLst>
        </c:ser>
        <c:dLbls>
          <c:showLegendKey val="0"/>
          <c:showVal val="0"/>
          <c:showCatName val="0"/>
          <c:showSerName val="0"/>
          <c:showPercent val="0"/>
          <c:showBubbleSize val="0"/>
        </c:dLbls>
        <c:gapWidth val="219"/>
        <c:overlap val="-27"/>
        <c:axId val="1731506784"/>
        <c:axId val="1731511584"/>
      </c:barChart>
      <c:catAx>
        <c:axId val="17315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11584"/>
        <c:crosses val="autoZero"/>
        <c:auto val="1"/>
        <c:lblAlgn val="ctr"/>
        <c:lblOffset val="100"/>
        <c:noMultiLvlLbl val="0"/>
      </c:catAx>
      <c:valAx>
        <c:axId val="173151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Project.xlsx]Pivot!PivotTable8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E-4899-4DB0-ABF9-2A75027796DD}"/>
            </c:ext>
          </c:extLst>
        </c:ser>
        <c:dLbls>
          <c:showLegendKey val="0"/>
          <c:showVal val="0"/>
          <c:showCatName val="0"/>
          <c:showSerName val="0"/>
          <c:showPercent val="0"/>
          <c:showBubbleSize val="0"/>
        </c:dLbls>
        <c:smooth val="0"/>
        <c:axId val="1731516864"/>
        <c:axId val="1731500544"/>
      </c:lineChart>
      <c:catAx>
        <c:axId val="17315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00544"/>
        <c:crosses val="autoZero"/>
        <c:auto val="1"/>
        <c:lblAlgn val="ctr"/>
        <c:lblOffset val="100"/>
        <c:tickLblSkip val="2"/>
        <c:tickMarkSkip val="2"/>
        <c:noMultiLvlLbl val="0"/>
      </c:catAx>
      <c:valAx>
        <c:axId val="1731500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51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103910</xdr:colOff>
      <xdr:row>5</xdr:row>
      <xdr:rowOff>159005</xdr:rowOff>
    </xdr:from>
    <xdr:to>
      <xdr:col>7</xdr:col>
      <xdr:colOff>545523</xdr:colOff>
      <xdr:row>20</xdr:row>
      <xdr:rowOff>155864</xdr:rowOff>
    </xdr:to>
    <xdr:graphicFrame macro="">
      <xdr:nvGraphicFramePr>
        <xdr:cNvPr id="2" name="Chart 1">
          <a:extLst>
            <a:ext uri="{FF2B5EF4-FFF2-40B4-BE49-F238E27FC236}">
              <a16:creationId xmlns:a16="http://schemas.microsoft.com/office/drawing/2014/main" id="{C0C7CA26-2466-4F56-B9A6-EF4369F1D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43295</xdr:colOff>
      <xdr:row>5</xdr:row>
      <xdr:rowOff>166390</xdr:rowOff>
    </xdr:from>
    <xdr:to>
      <xdr:col>15</xdr:col>
      <xdr:colOff>510887</xdr:colOff>
      <xdr:row>20</xdr:row>
      <xdr:rowOff>155865</xdr:rowOff>
    </xdr:to>
    <xdr:graphicFrame macro="">
      <xdr:nvGraphicFramePr>
        <xdr:cNvPr id="3" name="Chart 2">
          <a:extLst>
            <a:ext uri="{FF2B5EF4-FFF2-40B4-BE49-F238E27FC236}">
              <a16:creationId xmlns:a16="http://schemas.microsoft.com/office/drawing/2014/main" id="{FCC3332B-4BAF-4700-9D06-079BCDF1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103909</xdr:colOff>
      <xdr:row>21</xdr:row>
      <xdr:rowOff>45788</xdr:rowOff>
    </xdr:from>
    <xdr:to>
      <xdr:col>7</xdr:col>
      <xdr:colOff>545522</xdr:colOff>
      <xdr:row>35</xdr:row>
      <xdr:rowOff>146400</xdr:rowOff>
    </xdr:to>
    <xdr:graphicFrame macro="">
      <xdr:nvGraphicFramePr>
        <xdr:cNvPr id="4" name="Chart 3">
          <a:extLst>
            <a:ext uri="{FF2B5EF4-FFF2-40B4-BE49-F238E27FC236}">
              <a16:creationId xmlns:a16="http://schemas.microsoft.com/office/drawing/2014/main" id="{4DA8CC48-F12C-4364-8D3E-51F8A8BFB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46768</xdr:colOff>
      <xdr:row>21</xdr:row>
      <xdr:rowOff>43946</xdr:rowOff>
    </xdr:from>
    <xdr:to>
      <xdr:col>15</xdr:col>
      <xdr:colOff>510887</xdr:colOff>
      <xdr:row>35</xdr:row>
      <xdr:rowOff>129083</xdr:rowOff>
    </xdr:to>
    <xdr:graphicFrame macro="">
      <xdr:nvGraphicFramePr>
        <xdr:cNvPr id="5" name="Chart 4">
          <a:extLst>
            <a:ext uri="{FF2B5EF4-FFF2-40B4-BE49-F238E27FC236}">
              <a16:creationId xmlns:a16="http://schemas.microsoft.com/office/drawing/2014/main" id="{30727CF1-F8FF-4583-A39C-20915005D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597899</xdr:colOff>
      <xdr:row>21</xdr:row>
      <xdr:rowOff>44751</xdr:rowOff>
    </xdr:from>
    <xdr:to>
      <xdr:col>22</xdr:col>
      <xdr:colOff>484909</xdr:colOff>
      <xdr:row>35</xdr:row>
      <xdr:rowOff>129887</xdr:rowOff>
    </xdr:to>
    <xdr:graphicFrame macro="">
      <xdr:nvGraphicFramePr>
        <xdr:cNvPr id="6" name="Chart 5">
          <a:extLst>
            <a:ext uri="{FF2B5EF4-FFF2-40B4-BE49-F238E27FC236}">
              <a16:creationId xmlns:a16="http://schemas.microsoft.com/office/drawing/2014/main" id="{ABF503C7-78D2-483F-8CC9-97C34552B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597479</xdr:colOff>
      <xdr:row>5</xdr:row>
      <xdr:rowOff>175852</xdr:rowOff>
    </xdr:from>
    <xdr:to>
      <xdr:col>22</xdr:col>
      <xdr:colOff>484910</xdr:colOff>
      <xdr:row>20</xdr:row>
      <xdr:rowOff>164523</xdr:rowOff>
    </xdr:to>
    <xdr:graphicFrame macro="">
      <xdr:nvGraphicFramePr>
        <xdr:cNvPr id="7" name="Chart 6">
          <a:extLst>
            <a:ext uri="{FF2B5EF4-FFF2-40B4-BE49-F238E27FC236}">
              <a16:creationId xmlns:a16="http://schemas.microsoft.com/office/drawing/2014/main" id="{3275DC55-F6EE-4F1C-B3AD-8359C0BC1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60613</xdr:colOff>
      <xdr:row>0</xdr:row>
      <xdr:rowOff>164523</xdr:rowOff>
    </xdr:from>
    <xdr:to>
      <xdr:col>11</xdr:col>
      <xdr:colOff>580160</xdr:colOff>
      <xdr:row>5</xdr:row>
      <xdr:rowOff>77931</xdr:rowOff>
    </xdr:to>
    <xdr:sp macro="" textlink="Pivot!E2">
      <xdr:nvSpPr>
        <xdr:cNvPr id="8" name="Rectangle: Rounded Corners 7">
          <a:extLst>
            <a:ext uri="{FF2B5EF4-FFF2-40B4-BE49-F238E27FC236}">
              <a16:creationId xmlns:a16="http://schemas.microsoft.com/office/drawing/2014/main" id="{920A89EF-7BE2-0804-FB49-A2096376FE4B}"/>
            </a:ext>
          </a:extLst>
        </xdr:cNvPr>
        <xdr:cNvSpPr/>
      </xdr:nvSpPr>
      <xdr:spPr>
        <a:xfrm>
          <a:off x="4909704" y="164523"/>
          <a:ext cx="2337956" cy="8226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78C9D0-D8D0-47F0-A288-6A1DEDD19299}" type="TxLink">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pPr algn="ctr"/>
            <a:t>1000</a:t>
          </a:fld>
          <a:endPar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endParaRPr>
        </a:p>
        <a:p>
          <a:pPr algn="ctr"/>
          <a:r>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Total Orders</a:t>
          </a:r>
          <a:endParaRPr lang="en-IN" sz="16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12</xdr:col>
      <xdr:colOff>103909</xdr:colOff>
      <xdr:row>0</xdr:row>
      <xdr:rowOff>164524</xdr:rowOff>
    </xdr:from>
    <xdr:to>
      <xdr:col>15</xdr:col>
      <xdr:colOff>497219</xdr:colOff>
      <xdr:row>5</xdr:row>
      <xdr:rowOff>74375</xdr:rowOff>
    </xdr:to>
    <xdr:sp macro="" textlink="Pivot!F2">
      <xdr:nvSpPr>
        <xdr:cNvPr id="9" name="Rectangle: Rounded Corners 8">
          <a:extLst>
            <a:ext uri="{FF2B5EF4-FFF2-40B4-BE49-F238E27FC236}">
              <a16:creationId xmlns:a16="http://schemas.microsoft.com/office/drawing/2014/main" id="{1F0C2116-96C3-4D81-AAE1-D89C974DB6A8}"/>
            </a:ext>
          </a:extLst>
        </xdr:cNvPr>
        <xdr:cNvSpPr/>
      </xdr:nvSpPr>
      <xdr:spPr>
        <a:xfrm>
          <a:off x="7377545" y="164524"/>
          <a:ext cx="2211719" cy="8190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E6F883-EC71-4974-9257-92E864DC3BD1}" type="TxLink">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pPr algn="ctr"/>
            <a:t>₹ 35,20,984.00</a:t>
          </a:fld>
          <a:endPar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endParaRPr>
        </a:p>
        <a:p>
          <a:pPr algn="ctr"/>
          <a:r>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Total Revenue</a:t>
          </a:r>
          <a:endParaRPr lang="en-IN" sz="16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editAs="oneCell">
    <xdr:from>
      <xdr:col>23</xdr:col>
      <xdr:colOff>0</xdr:colOff>
      <xdr:row>21</xdr:row>
      <xdr:rowOff>60614</xdr:rowOff>
    </xdr:from>
    <xdr:to>
      <xdr:col>26</xdr:col>
      <xdr:colOff>329047</xdr:colOff>
      <xdr:row>35</xdr:row>
      <xdr:rowOff>138546</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EFBA7397-AA53-44F4-94F1-1727519E3E5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941136" y="3879273"/>
              <a:ext cx="2147456" cy="2623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597477</xdr:colOff>
      <xdr:row>0</xdr:row>
      <xdr:rowOff>147205</xdr:rowOff>
    </xdr:from>
    <xdr:to>
      <xdr:col>19</xdr:col>
      <xdr:colOff>242454</xdr:colOff>
      <xdr:row>5</xdr:row>
      <xdr:rowOff>70702</xdr:rowOff>
    </xdr:to>
    <xdr:sp macro="" textlink="Pivot!G2">
      <xdr:nvSpPr>
        <xdr:cNvPr id="13" name="Rectangle: Rounded Corners 12">
          <a:extLst>
            <a:ext uri="{FF2B5EF4-FFF2-40B4-BE49-F238E27FC236}">
              <a16:creationId xmlns:a16="http://schemas.microsoft.com/office/drawing/2014/main" id="{4E6801A9-45D6-4029-B2A6-227E58AAE8BF}"/>
            </a:ext>
          </a:extLst>
        </xdr:cNvPr>
        <xdr:cNvSpPr/>
      </xdr:nvSpPr>
      <xdr:spPr>
        <a:xfrm>
          <a:off x="9689522" y="147205"/>
          <a:ext cx="2069523" cy="8327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59F25A-FD16-4E50-B3A4-78D430E56BE7}" type="TxLink">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pPr algn="ctr"/>
            <a:t>5.53</a:t>
          </a:fld>
          <a:br>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br>
          <a:r>
            <a:rPr lang="en-US" sz="16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Order</a:t>
          </a:r>
          <a:r>
            <a:rPr lang="en-US" sz="1600" b="1" i="0" u="none" strike="noStrike" baseline="0">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-Delivery Time</a:t>
          </a:r>
          <a:endParaRPr lang="en-IN" sz="1600" b="1" i="0" u="none" strike="noStrike">
            <a:solidFill>
              <a:schemeClr val="lt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19</xdr:col>
      <xdr:colOff>337704</xdr:colOff>
      <xdr:row>0</xdr:row>
      <xdr:rowOff>155865</xdr:rowOff>
    </xdr:from>
    <xdr:to>
      <xdr:col>22</xdr:col>
      <xdr:colOff>476250</xdr:colOff>
      <xdr:row>5</xdr:row>
      <xdr:rowOff>67031</xdr:rowOff>
    </xdr:to>
    <xdr:sp macro="" textlink="">
      <xdr:nvSpPr>
        <xdr:cNvPr id="14" name="Rectangle: Rounded Corners 13">
          <a:extLst>
            <a:ext uri="{FF2B5EF4-FFF2-40B4-BE49-F238E27FC236}">
              <a16:creationId xmlns:a16="http://schemas.microsoft.com/office/drawing/2014/main" id="{06933A32-B10A-44E5-9E6E-B4AED79CC6D5}"/>
            </a:ext>
          </a:extLst>
        </xdr:cNvPr>
        <xdr:cNvSpPr/>
      </xdr:nvSpPr>
      <xdr:spPr>
        <a:xfrm>
          <a:off x="11854295" y="155865"/>
          <a:ext cx="1956955" cy="8203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tx1"/>
              </a:solidFill>
              <a:effectLst/>
              <a:latin typeface="+mj-lt"/>
              <a:ea typeface="+mn-ea"/>
              <a:cs typeface="+mn-cs"/>
            </a:rPr>
            <a:t>₹ 3,520.98 </a:t>
          </a:r>
          <a:endParaRPr lang="en-IN" sz="1400">
            <a:solidFill>
              <a:schemeClr val="tx1"/>
            </a:solidFill>
            <a:effectLst/>
            <a:latin typeface="+mj-lt"/>
          </a:endParaRPr>
        </a:p>
        <a:p>
          <a:pPr algn="ctr"/>
          <a:r>
            <a:rPr lang="en-US" sz="1400" b="1" i="0">
              <a:solidFill>
                <a:schemeClr val="tx1"/>
              </a:solidFill>
              <a:effectLst/>
              <a:latin typeface="+mj-lt"/>
              <a:ea typeface="+mn-ea"/>
              <a:cs typeface="+mn-cs"/>
            </a:rPr>
            <a:t>Avg.</a:t>
          </a:r>
          <a:r>
            <a:rPr lang="en-US" sz="1400" b="1" i="0" baseline="0">
              <a:solidFill>
                <a:schemeClr val="tx1"/>
              </a:solidFill>
              <a:effectLst/>
              <a:latin typeface="+mj-lt"/>
              <a:ea typeface="+mn-ea"/>
              <a:cs typeface="+mn-cs"/>
            </a:rPr>
            <a:t> Customer's Spent</a:t>
          </a:r>
          <a:endParaRPr lang="en-US" sz="1400" b="1">
            <a:solidFill>
              <a:schemeClr val="tx1"/>
            </a:solidFill>
            <a:latin typeface="+mj-lt"/>
            <a:ea typeface="Calibri Light" panose="020F0302020204030204" pitchFamily="34" charset="0"/>
            <a:cs typeface="Calibri Light" panose="020F0302020204030204" pitchFamily="34" charset="0"/>
          </a:endParaRPr>
        </a:p>
      </xdr:txBody>
    </xdr:sp>
    <xdr:clientData/>
  </xdr:twoCellAnchor>
  <xdr:twoCellAnchor editAs="oneCell">
    <xdr:from>
      <xdr:col>22</xdr:col>
      <xdr:colOff>580158</xdr:colOff>
      <xdr:row>0</xdr:row>
      <xdr:rowOff>168678</xdr:rowOff>
    </xdr:from>
    <xdr:to>
      <xdr:col>26</xdr:col>
      <xdr:colOff>303068</xdr:colOff>
      <xdr:row>11</xdr:row>
      <xdr:rowOff>17318</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EC362815-C7F2-BB8E-7641-7C28E613233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15158" y="168678"/>
              <a:ext cx="2147455" cy="18488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588818</xdr:colOff>
      <xdr:row>11</xdr:row>
      <xdr:rowOff>95251</xdr:rowOff>
    </xdr:from>
    <xdr:to>
      <xdr:col>26</xdr:col>
      <xdr:colOff>311728</xdr:colOff>
      <xdr:row>20</xdr:row>
      <xdr:rowOff>147205</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035CD9FC-CBA8-B8DC-98E3-EC70F98B18D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23818" y="2095501"/>
              <a:ext cx="2147455" cy="16885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95249</xdr:colOff>
      <xdr:row>0</xdr:row>
      <xdr:rowOff>155863</xdr:rowOff>
    </xdr:from>
    <xdr:to>
      <xdr:col>7</xdr:col>
      <xdr:colOff>554181</xdr:colOff>
      <xdr:row>5</xdr:row>
      <xdr:rowOff>49799</xdr:rowOff>
    </xdr:to>
    <xdr:sp macro="" textlink="Pivot!E2">
      <xdr:nvSpPr>
        <xdr:cNvPr id="17" name="Rectangle: Rounded Corners 16">
          <a:extLst>
            <a:ext uri="{FF2B5EF4-FFF2-40B4-BE49-F238E27FC236}">
              <a16:creationId xmlns:a16="http://schemas.microsoft.com/office/drawing/2014/main" id="{B6C960EB-31D1-48EA-8FF4-7738DCE40DCC}"/>
            </a:ext>
          </a:extLst>
        </xdr:cNvPr>
        <xdr:cNvSpPr/>
      </xdr:nvSpPr>
      <xdr:spPr>
        <a:xfrm>
          <a:off x="95249" y="155863"/>
          <a:ext cx="4701887" cy="803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Sales</a:t>
          </a:r>
          <a:r>
            <a:rPr lang="en-US" sz="3200" b="1" i="0" u="none" strike="noStrike" baseline="0">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 Analysis</a:t>
          </a:r>
        </a:p>
      </xdr:txBody>
    </xdr:sp>
    <xdr:clientData/>
  </xdr:twoCellAnchor>
  <xdr:twoCellAnchor editAs="oneCell">
    <xdr:from>
      <xdr:col>0</xdr:col>
      <xdr:colOff>268433</xdr:colOff>
      <xdr:row>1</xdr:row>
      <xdr:rowOff>43294</xdr:rowOff>
    </xdr:from>
    <xdr:to>
      <xdr:col>1</xdr:col>
      <xdr:colOff>389660</xdr:colOff>
      <xdr:row>4</xdr:row>
      <xdr:rowOff>181839</xdr:rowOff>
    </xdr:to>
    <xdr:pic>
      <xdr:nvPicPr>
        <xdr:cNvPr id="21" name="Picture 20">
          <a:extLst>
            <a:ext uri="{FF2B5EF4-FFF2-40B4-BE49-F238E27FC236}">
              <a16:creationId xmlns:a16="http://schemas.microsoft.com/office/drawing/2014/main" id="{D35876AF-6CA8-1BD0-0DCA-19C7E72171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8433" y="225135"/>
          <a:ext cx="727363" cy="68406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62037" backgroundQuery="1" createdVersion="8" refreshedVersion="8" minRefreshableVersion="3" recordCount="0" supportSubquery="1" supportAdvancedDrill="1" xr:uid="{43268BBB-02F8-4293-ADC6-200BFBAA5EDA}">
  <cacheSource type="external" connectionId="9"/>
  <cacheFields count="2">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666667" backgroundQuery="1" createdVersion="8" refreshedVersion="8" minRefreshableVersion="3" recordCount="0" supportSubquery="1" supportAdvancedDrill="1" xr:uid="{1E25D407-8D2D-41A9-80CA-82744CBC3ADE}">
  <cacheSource type="external" connectionId="9"/>
  <cacheFields count="4">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7013885" backgroundQuery="1" createdVersion="8" refreshedVersion="8" minRefreshableVersion="3" recordCount="0" supportSubquery="1" supportAdvancedDrill="1" xr:uid="{921318FA-215E-4CF5-B405-79345F6A2930}">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7361109" backgroundQuery="1" createdVersion="8" refreshedVersion="8" minRefreshableVersion="3" recordCount="0" supportSubquery="1" supportAdvancedDrill="1" xr:uid="{69E5678B-09A0-4F55-85EB-584A176896E8}">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b datasets].[Content]" caption="Content" attribute="1" defaultMemberUniqueName="[fnb datasets].[Content].[All]" allUniqueName="[fnb datasets].[Content].[All]" dimensionUniqueName="[fnb datasets]" displayFolder="" count="2" memberValueDatatype="130" unbalanced="0"/>
    <cacheHierarchy uniqueName="[fnb datasets].[Name]" caption="Name" attribute="1" defaultMemberUniqueName="[fnb datasets].[Name].[All]" allUniqueName="[fnb datasets].[Name].[All]" dimensionUniqueName="[fnb datasets]" displayFolder="" count="2" memberValueDatatype="130" unbalanced="0"/>
    <cacheHierarchy uniqueName="[fnb datasets].[Extension]" caption="Extension" attribute="1" defaultMemberUniqueName="[fnb datasets].[Extension].[All]" allUniqueName="[fnb datasets].[Extension].[All]" dimensionUniqueName="[fnb datasets]" displayFolder="" count="2" memberValueDatatype="130" unbalanced="0"/>
    <cacheHierarchy uniqueName="[fnb datasets].[Date accessed]" caption="Date accessed" attribute="1" time="1" defaultMemberUniqueName="[fnb datasets].[Date accessed].[All]" allUniqueName="[fnb datasets].[Date accessed].[All]" dimensionUniqueName="[fnb datasets]" displayFolder="" count="2" memberValueDatatype="7" unbalanced="0"/>
    <cacheHierarchy uniqueName="[fnb datasets].[Date modified]" caption="Date modified" attribute="1" time="1" defaultMemberUniqueName="[fnb datasets].[Date modified].[All]" allUniqueName="[fnb datasets].[Date modified].[All]" dimensionUniqueName="[fnb datasets]" displayFolder="" count="2" memberValueDatatype="7" unbalanced="0"/>
    <cacheHierarchy uniqueName="[fnb datasets].[Date created]" caption="Date created" attribute="1" time="1" defaultMemberUniqueName="[fnb datasets].[Date created].[All]" allUniqueName="[fnb datasets].[Date created].[All]" dimensionUniqueName="[fnb datasets]" displayFolder="" count="2" memberValueDatatype="7" unbalanced="0"/>
    <cacheHierarchy uniqueName="[fnb datasets].[Folder Path]" caption="Folder Path" attribute="1" defaultMemberUniqueName="[fnb datasets].[Folder Path].[All]" allUniqueName="[fnb datasets].[Folder Path].[All]" dimensionUniqueName="[fnb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7708332" backgroundQuery="1" createdVersion="8" refreshedVersion="8" minRefreshableVersion="3" recordCount="0" supportSubquery="1" supportAdvancedDrill="1" xr:uid="{2079B7DD-6C67-4341-BB1A-5908BD6C67A0}">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8055555" backgroundQuery="1" createdVersion="8" refreshedVersion="8" minRefreshableVersion="3" recordCount="0" supportSubquery="1" supportAdvancedDrill="1" xr:uid="{5CB084B2-E606-4F50-BC94-F65411F4820F}">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6032.921068518517" backgroundQuery="1" createdVersion="8" refreshedVersion="8" minRefreshableVersion="3" recordCount="0" supportSubquery="1" supportAdvancedDrill="1" xr:uid="{5C3648E2-BAA7-48DB-9230-5099BDA98BEF}">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b datasets" uniqueName="[fnb datasets]" caption="fnb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s" caption="fnb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5955.412580555552" backgroundQuery="1" createdVersion="3" refreshedVersion="8" minRefreshableVersion="3" recordCount="0" supportSubquery="1" supportAdvancedDrill="1" xr:uid="{8C117C87-4D96-465D-9DAD-FF1D09FDE475}">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448461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SHTI SAHA" refreshedDate="45955.425700925924" backgroundQuery="1" createdVersion="3" refreshedVersion="8" minRefreshableVersion="3" recordCount="0" supportSubquery="1" supportAdvancedDrill="1" xr:uid="{FFC0B284-CA7A-4607-808A-C631F27A8DDC}">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s].[Content]" caption="Content" attribute="1" defaultMemberUniqueName="[fnb datasets].[Content].[All]" allUniqueName="[fnb datasets].[Content].[All]" dimensionUniqueName="[fnb datasets]" displayFolder="" count="0" memberValueDatatype="130" unbalanced="0"/>
    <cacheHierarchy uniqueName="[fnb datasets].[Name]" caption="Name" attribute="1" defaultMemberUniqueName="[fnb datasets].[Name].[All]" allUniqueName="[fnb datasets].[Name].[All]" dimensionUniqueName="[fnb datasets]" displayFolder="" count="0" memberValueDatatype="130" unbalanced="0"/>
    <cacheHierarchy uniqueName="[fnb datasets].[Extension]" caption="Extension" attribute="1" defaultMemberUniqueName="[fnb datasets].[Extension].[All]" allUniqueName="[fnb datasets].[Extension].[All]" dimensionUniqueName="[fnb datasets]" displayFolder="" count="0" memberValueDatatype="130" unbalanced="0"/>
    <cacheHierarchy uniqueName="[fnb datasets].[Date accessed]" caption="Date accessed" attribute="1" time="1" defaultMemberUniqueName="[fnb datasets].[Date accessed].[All]" allUniqueName="[fnb datasets].[Date accessed].[All]" dimensionUniqueName="[fnb datasets]" displayFolder="" count="0" memberValueDatatype="7" unbalanced="0"/>
    <cacheHierarchy uniqueName="[fnb datasets].[Date modified]" caption="Date modified" attribute="1" time="1" defaultMemberUniqueName="[fnb datasets].[Date modified].[All]" allUniqueName="[fnb datasets].[Date modified].[All]" dimensionUniqueName="[fnb datasets]" displayFolder="" count="0" memberValueDatatype="7" unbalanced="0"/>
    <cacheHierarchy uniqueName="[fnb datasets].[Date created]" caption="Date created" attribute="1" time="1" defaultMemberUniqueName="[fnb datasets].[Date created].[All]" allUniqueName="[fnb datasets].[Date created].[All]" dimensionUniqueName="[fnb datasets]" displayFolder="" count="0" memberValueDatatype="7" unbalanced="0"/>
    <cacheHierarchy uniqueName="[fnb datasets].[Folder Path]" caption="Folder Path" attribute="1" defaultMemberUniqueName="[fnb datasets].[Folder Path].[All]" allUniqueName="[fnb datasets].[Folder Path].[All]" dimensionUniqueName="[fnb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b datasets]" caption="__XL_Count fnb datasets" measure="1" displayFolder="" measureGroup="fnb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181440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1BECED-9879-4A67-B30A-C8C54B77626E}" name="PivotTable7" cacheId="5" applyNumberFormats="0" applyBorderFormats="0" applyFontFormats="0" applyPatternFormats="0" applyAlignmentFormats="0" applyWidthHeightFormats="1" dataCaption="Values" tag="e53fb619-e91b-45df-a097-ce38c76b66da" updatedVersion="8" minRefreshableVersion="5" useAutoFormatting="1" itemPrintTitles="1" createdVersion="8" indent="0" outline="1" outlineData="1" multipleFieldFilters="0" chartFormat="6">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4D5006-D5B5-481E-B0A5-7DE1440B690C}" name="PivotTable2" cacheId="0" applyNumberFormats="0" applyBorderFormats="0" applyFontFormats="0" applyPatternFormats="0" applyAlignmentFormats="0" applyWidthHeightFormats="1" dataCaption="Values" tag="13ecafef-2b8d-4e53-877d-64d9ffa4d617" updatedVersion="8" minRefreshableVersion="5" useAutoFormatting="1" itemPrintTitles="1" createdVersion="8" indent="0" outline="1" outlineData="1" multipleFieldFilters="0" chartFormat="4">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FB749-9054-43CD-BA25-46C23FF30926}" name="PivotTable6" cacheId="4" applyNumberFormats="0" applyBorderFormats="0" applyFontFormats="0" applyPatternFormats="0" applyAlignmentFormats="0" applyWidthHeightFormats="1" dataCaption="Values" tag="a94a1979-a950-4f61-be2a-9679cbb97d8d" updatedVersion="8" minRefreshableVersion="5" useAutoFormatting="1" itemPrintTitles="1" createdVersion="8" indent="0" outline="1" outlineData="1" multipleFieldFilters="0" chartFormat="4">
  <location ref="E18:F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E508C-BA7E-4625-B1A1-261EC2FB4832}" name="PivotTable5" cacheId="3" applyNumberFormats="0" applyBorderFormats="0" applyFontFormats="0" applyPatternFormats="0" applyAlignmentFormats="0" applyWidthHeightFormats="1" dataCaption="Values" tag="f1d0d12c-d0d2-4ef2-81a9-9dced84e88af" updatedVersion="8" minRefreshableVersion="5" useAutoFormatting="1" itemPrintTitles="1" createdVersion="8" indent="0" outline="1" outlineData="1" multipleFieldFilters="0" chartFormat="5">
  <location ref="B18:C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95218F-4922-4AE5-845F-B4EAFFD47562}" name="PivotTable4" cacheId="2" applyNumberFormats="0" applyBorderFormats="0" applyFontFormats="0" applyPatternFormats="0" applyAlignmentFormats="0" applyWidthHeightFormats="1" dataCaption="Values" tag="2035438d-4db6-422e-82ab-b7b22cb392dd" updatedVersion="8" minRefreshableVersion="5" useAutoFormatting="1" itemPrintTitles="1" createdVersion="8" indent="0" outline="1" outlineData="1" multipleFieldFilters="0" chartFormat="5">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DEFA8-C550-4F8C-9E7F-C5B8ECA7A8D6}" name="PivotTable3" cacheId="1" applyNumberFormats="0" applyBorderFormats="0" applyFontFormats="0" applyPatternFormats="0" applyAlignmentFormats="0" applyWidthHeightFormats="1" dataCaption="Values" tag="1362fd22-94b3-4b67-ad2d-bcd1b780fc45" updatedVersion="8" minRefreshableVersion="5" useAutoFormatting="1" subtotalHiddenItems="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s Placed" fld="3" subtotal="count" baseField="0" baseItem="1"/>
    <dataField name="Sum of Revenue" fld="0" baseField="0" baseItem="0"/>
    <dataField name="Average of diff_order_delivery" fld="1" subtotal="average" baseField="0" baseItem="1"/>
    <dataField name="Average of Customers Spending" fld="2" subtotal="average"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s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5410B5-A137-4912-8AE0-C0ACE87EEB87}" name="PivotTable8" cacheId="6" applyNumberFormats="0" applyBorderFormats="0" applyFontFormats="0" applyPatternFormats="0" applyAlignmentFormats="0" applyWidthHeightFormats="1" dataCaption="Values" tag="6667ae2c-b6cc-4ddb-97f4-870d427540d4" updatedVersion="8" minRefreshableVersion="5" useAutoFormatting="1" itemPrintTitles="1" createdVersion="8" indent="0" outline="1" outlineData="1" multipleFieldFilters="0" chartFormat="9">
  <location ref="B31:C5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F80E3A6-71E1-4CCC-8FFE-43963A2D851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b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1CA48FD-ADF3-4AC6-B14A-CDFDB892A67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8DBF3D8-0E27-46FF-BB2B-D90E1782290E}"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9" name="Day Name (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44D29C6-5453-4D5F-8DD7-13C4A57A83D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04F4F91-D81A-46AF-B20B-8DF4F693A492}" sourceName="[Orders].[Occasion]">
  <pivotTables>
    <pivotTable tabId="1" name="PivotTable4"/>
    <pivotTable tabId="1" name="PivotTable2"/>
    <pivotTable tabId="1" name="PivotTable3"/>
    <pivotTable tabId="1" name="PivotTable5"/>
    <pivotTable tabId="1" name="PivotTable6"/>
    <pivotTable tabId="1" name="PivotTable8"/>
    <pivotTable tabId="1" name="PivotTable7"/>
  </pivotTables>
  <data>
    <olap pivotCacheId="160448461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D54F500-F274-422B-80D1-58C33378ED51}" cache="Slicer_Occasion" caption="Occasion" startItem="2"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6D64CF-F2B9-46AC-9F95-CA0DF6632A9E}" name="fnb_datasets" displayName="fnb_datasets" ref="A1:F4" tableType="queryTable" totalsRowShown="0">
  <autoFilter ref="A1:F4" xr:uid="{146D64CF-F2B9-46AC-9F95-CA0DF6632A9E}"/>
  <tableColumns count="6">
    <tableColumn id="1" xr3:uid="{1D45973C-82B3-4A9B-B3C5-E117F2CCB50B}" uniqueName="1" name="Name" queryTableFieldId="1" dataDxfId="23"/>
    <tableColumn id="2" xr3:uid="{C3ABEC02-DCCC-46EC-9984-93C6794AF69D}" uniqueName="2" name="Extension" queryTableFieldId="2" dataDxfId="22"/>
    <tableColumn id="3" xr3:uid="{0DEF7530-BB83-452B-8008-A69D82F18EBE}" uniqueName="3" name="Date accessed" queryTableFieldId="3" dataDxfId="21"/>
    <tableColumn id="4" xr3:uid="{0E9BAA48-CBD9-4375-A5E2-C3F28D8C5071}" uniqueName="4" name="Date modified" queryTableFieldId="4" dataDxfId="20"/>
    <tableColumn id="5" xr3:uid="{BA12AD66-F698-4308-ADFE-7178E82C092D}" uniqueName="5" name="Date created" queryTableFieldId="5" dataDxfId="19"/>
    <tableColumn id="6" xr3:uid="{0811AA33-1302-4DFC-B233-C959D252A6F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BD8AC1-FCF2-44BB-9484-DA2331E1FB4D}" name="Customers" displayName="Customers" ref="A1:G101" tableType="queryTable" totalsRowShown="0">
  <autoFilter ref="A1:G101" xr:uid="{0CBD8AC1-FCF2-44BB-9484-DA2331E1FB4D}"/>
  <tableColumns count="7">
    <tableColumn id="1" xr3:uid="{3A0A5D20-CD7A-488A-9D1A-1FD3A1C9CAF7}" uniqueName="1" name="Customer_ID" queryTableFieldId="1" dataDxfId="17"/>
    <tableColumn id="2" xr3:uid="{00A0BCC6-1083-42FE-8C62-5C3BE5745C88}" uniqueName="2" name="Name" queryTableFieldId="2" dataDxfId="16"/>
    <tableColumn id="3" xr3:uid="{3E5B5504-A962-49A2-A88A-6341C9244FAB}" uniqueName="3" name="City" queryTableFieldId="3" dataDxfId="15"/>
    <tableColumn id="4" xr3:uid="{C420EF5C-5EB1-4AC1-B35D-82431A6B77A9}" uniqueName="4" name="Contact_Number" queryTableFieldId="4" dataDxfId="14"/>
    <tableColumn id="5" xr3:uid="{140C1239-3D8B-4540-99B5-9550FDF8A1B9}" uniqueName="5" name="Email" queryTableFieldId="5" dataDxfId="13"/>
    <tableColumn id="6" xr3:uid="{C8CAD683-F958-40B1-8CFA-A4D67DC7EC2F}" uniqueName="6" name="Gender" queryTableFieldId="6" dataDxfId="12"/>
    <tableColumn id="7" xr3:uid="{19E2C11D-9B3F-4CD7-BE28-BD29E96FB950}" uniqueName="7" name="Address" queryTableFieldId="7" dataDxfId="1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6572C3-4991-4540-8231-D1BEF1C7709C}" name="Orders" displayName="Orders" ref="A1:Q1001" tableType="queryTable" totalsRowShown="0">
  <autoFilter ref="A1:Q1001" xr:uid="{AF6572C3-4991-4540-8231-D1BEF1C7709C}"/>
  <tableColumns count="17">
    <tableColumn id="1" xr3:uid="{ED3E6F64-3DD3-44A5-96DA-C75ABE014504}" uniqueName="1" name="Order_ID" queryTableFieldId="1"/>
    <tableColumn id="2" xr3:uid="{603E1D53-86DC-40D2-952C-D3B5B9167EDD}" uniqueName="2" name="Customer_ID" queryTableFieldId="2" dataDxfId="10"/>
    <tableColumn id="3" xr3:uid="{39FB5687-8146-42E2-84D4-A3A3125718CE}" uniqueName="3" name="Product_ID" queryTableFieldId="3"/>
    <tableColumn id="4" xr3:uid="{2B7AD976-25EA-41BD-B11E-36E14293DF9C}" uniqueName="4" name="Quantity" queryTableFieldId="4"/>
    <tableColumn id="5" xr3:uid="{7016EC32-5479-40A2-B524-0C6654B80134}" uniqueName="5" name="Order_Date" queryTableFieldId="5" dataDxfId="9"/>
    <tableColumn id="6" xr3:uid="{F056617F-08D9-4597-B9A1-8BF5545002DF}" uniqueName="6" name="Order_Time" queryTableFieldId="6" dataDxfId="8"/>
    <tableColumn id="7" xr3:uid="{2B06A57E-3E13-49D4-BB00-F99A4A049C2B}" uniqueName="7" name="Delivery_Date" queryTableFieldId="7" dataDxfId="7"/>
    <tableColumn id="8" xr3:uid="{05A35D9D-5122-4277-9CFB-3757F625B85B}" uniqueName="8" name="Delivery_Time" queryTableFieldId="8" dataDxfId="6"/>
    <tableColumn id="9" xr3:uid="{23F20776-5261-4484-A47F-098ABF617663}" uniqueName="9" name="Location" queryTableFieldId="9" dataDxfId="5"/>
    <tableColumn id="10" xr3:uid="{4DCD63D2-1E2A-4C61-B403-F1A5D9DE3932}" uniqueName="10" name="Occasion" queryTableFieldId="10" dataDxfId="4"/>
    <tableColumn id="11" xr3:uid="{25CD1E2A-3F1B-4606-84BD-AE5415984D4A}" uniqueName="11" name="Month Name" queryTableFieldId="11" dataDxfId="3"/>
    <tableColumn id="12" xr3:uid="{6DAB1F04-E653-4D06-A687-49A2DB11D34E}" uniqueName="12" name="Hour (Order Time)" queryTableFieldId="12"/>
    <tableColumn id="13" xr3:uid="{E1326A65-1AEB-4056-9D4B-F3CF1E7FC96A}" uniqueName="13" name="diff_order_delivery" queryTableFieldId="13"/>
    <tableColumn id="14" xr3:uid="{D80ECD40-E385-4622-9CA7-18FC13BCF4B2}" uniqueName="14" name="Hour (Delivery Time)" queryTableFieldId="14"/>
    <tableColumn id="15" xr3:uid="{217AEBC7-A6D0-46D7-946F-DE18545BFE0A}" uniqueName="15" name="Price (INR)" queryTableFieldId="15"/>
    <tableColumn id="16" xr3:uid="{4E2E97A1-D7BB-4B4B-998C-EDB3F0A21263}" uniqueName="16" name="Revenue" queryTableFieldId="16"/>
    <tableColumn id="19" xr3:uid="{7615614A-69B7-44BB-B8BB-D0A89C1FF01F}" uniqueName="19" name="Day Name (Order Date)" queryTableFieldId="1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1B71E6-58BD-4B3A-970E-2126AFB89B79}" name="Products" displayName="Products" ref="A1:E71" tableType="queryTable" totalsRowShown="0">
  <autoFilter ref="A1:E71" xr:uid="{521B71E6-58BD-4B3A-970E-2126AFB89B79}"/>
  <tableColumns count="5">
    <tableColumn id="1" xr3:uid="{A91E6C30-C8D1-4749-AD4B-3CDB835CFFDE}" uniqueName="1" name="Product_ID" queryTableFieldId="1"/>
    <tableColumn id="2" xr3:uid="{0873CDE8-831A-4D89-B434-EC782E00B5DB}" uniqueName="2" name="Product_Name" queryTableFieldId="2" dataDxfId="2"/>
    <tableColumn id="3" xr3:uid="{D34D3E03-081C-4639-9DC4-FE827C629970}" uniqueName="3" name="Category" queryTableFieldId="3" dataDxfId="1"/>
    <tableColumn id="4" xr3:uid="{98E62BF7-F1AF-48AE-9F1E-2D36623B5107}" uniqueName="4" name="Price (INR)" queryTableFieldId="4"/>
    <tableColumn id="5" xr3:uid="{82F64256-2076-4099-A0C2-9EB4D6917487}" uniqueName="5" name="Occasion" queryTableFieldId="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020ED95-9834-4191-B1BB-D5A74C18065A}" sourceName="[Orders].[Order_Date]">
  <pivotTables>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101814404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6430237-6C4E-4BB7-A1E3-7AB371C42F6A}" sourceName="[Orders].[Delivery_Date]">
  <pivotTables>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10181440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E2195CB-9154-43DC-8254-EE2CDF680CF8}" cache="Timeline_Order_Date" caption="Order_Date" level="2" selectionLevel="0" scrollPosition="2023-08-23T00:00:00"/>
  <timeline name="Delivery_Date" xr10:uid="{B3837AD6-20DD-42CC-B7DC-4DD8408269D2}" cache="Timeline_Delivery_Date" caption="Delivery_Date" level="2" selectionLevel="2" scrollPosition="2024-08-2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8917-BEA3-478C-AB95-4A08F67E28B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2.109375" bestFit="1" customWidth="1"/>
  </cols>
  <sheetData>
    <row r="1" spans="1:6" x14ac:dyDescent="0.3">
      <c r="A1" t="s">
        <v>0</v>
      </c>
      <c r="B1" t="s">
        <v>1</v>
      </c>
      <c r="C1" t="s">
        <v>2</v>
      </c>
      <c r="D1" t="s">
        <v>3</v>
      </c>
      <c r="E1" t="s">
        <v>4</v>
      </c>
      <c r="F1" t="s">
        <v>5</v>
      </c>
    </row>
    <row r="2" spans="1:6" x14ac:dyDescent="0.3">
      <c r="A2" t="s">
        <v>6</v>
      </c>
      <c r="B2" t="s">
        <v>7</v>
      </c>
      <c r="C2" s="1">
        <v>45955.359667245371</v>
      </c>
      <c r="D2" s="1">
        <v>45955.313997685182</v>
      </c>
      <c r="E2" s="1">
        <v>45955.313958873456</v>
      </c>
      <c r="F2" t="s">
        <v>8</v>
      </c>
    </row>
    <row r="3" spans="1:6" x14ac:dyDescent="0.3">
      <c r="A3" t="s">
        <v>9</v>
      </c>
      <c r="B3" t="s">
        <v>7</v>
      </c>
      <c r="C3" s="1">
        <v>45955.321354475309</v>
      </c>
      <c r="D3" s="1">
        <v>45955.314110030864</v>
      </c>
      <c r="E3" s="1">
        <v>45955.314100000003</v>
      </c>
      <c r="F3" t="s">
        <v>8</v>
      </c>
    </row>
    <row r="4" spans="1:6" x14ac:dyDescent="0.3">
      <c r="A4" t="s">
        <v>10</v>
      </c>
      <c r="B4" t="s">
        <v>7</v>
      </c>
      <c r="C4" s="1">
        <v>45955.322136882714</v>
      </c>
      <c r="D4" s="1">
        <v>45955.318702893521</v>
      </c>
      <c r="E4" s="1">
        <v>45955.322136844137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E0B4-E37D-4E24-9BD5-A1F4E15296CB}">
  <dimension ref="A1:G101"/>
  <sheetViews>
    <sheetView workbookViewId="0">
      <selection activeCell="I6" sqref="I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8580-DB16-4132-B4CB-0E6B0C9FB524}">
  <dimension ref="A1:Q1001"/>
  <sheetViews>
    <sheetView tabSelected="1" zoomScale="79" workbookViewId="0">
      <selection activeCell="U13" sqref="U1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3" bestFit="1" customWidth="1"/>
    <col min="18" max="18" width="11.88671875" bestFit="1" customWidth="1"/>
    <col min="19" max="19"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C140-AA85-43C0-A397-C2DC316081EA}">
  <dimension ref="A1:E71"/>
  <sheetViews>
    <sheetView workbookViewId="0">
      <selection activeCell="I13" sqref="I1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4E8D-B9C4-4810-A37D-CDE1C5E2868D}">
  <dimension ref="B1:I56"/>
  <sheetViews>
    <sheetView workbookViewId="0">
      <selection activeCell="K12" sqref="K12"/>
    </sheetView>
  </sheetViews>
  <sheetFormatPr defaultRowHeight="14.4" x14ac:dyDescent="0.3"/>
  <cols>
    <col min="2" max="2" width="12.5546875" bestFit="1" customWidth="1"/>
    <col min="3" max="4" width="14.88671875" bestFit="1" customWidth="1"/>
    <col min="5" max="5" width="13.6640625" bestFit="1" customWidth="1"/>
    <col min="6" max="6" width="16.44140625" bestFit="1" customWidth="1"/>
    <col min="7" max="7" width="27.109375" bestFit="1" customWidth="1"/>
    <col min="8" max="8" width="27.77734375" customWidth="1"/>
    <col min="9" max="9" width="14.88671875" bestFit="1" customWidth="1"/>
  </cols>
  <sheetData>
    <row r="1" spans="2:8" x14ac:dyDescent="0.3">
      <c r="B1" s="4" t="s">
        <v>932</v>
      </c>
      <c r="C1" t="s">
        <v>943</v>
      </c>
      <c r="E1" t="s">
        <v>947</v>
      </c>
      <c r="F1" t="s">
        <v>943</v>
      </c>
      <c r="G1" t="s">
        <v>944</v>
      </c>
      <c r="H1" t="s">
        <v>945</v>
      </c>
    </row>
    <row r="2" spans="2:8" x14ac:dyDescent="0.3">
      <c r="B2" s="5" t="s">
        <v>842</v>
      </c>
      <c r="C2" s="7">
        <v>95468</v>
      </c>
      <c r="E2">
        <v>1000</v>
      </c>
      <c r="F2" s="7">
        <v>3520984</v>
      </c>
      <c r="G2">
        <v>5.53</v>
      </c>
      <c r="H2" s="7">
        <v>3520.9839999999999</v>
      </c>
    </row>
    <row r="3" spans="2:8" x14ac:dyDescent="0.3">
      <c r="B3" s="5" t="s">
        <v>621</v>
      </c>
      <c r="C3" s="7">
        <v>704509</v>
      </c>
    </row>
    <row r="4" spans="2:8" x14ac:dyDescent="0.3">
      <c r="B4" s="5" t="s">
        <v>747</v>
      </c>
      <c r="C4" s="7">
        <v>511823</v>
      </c>
    </row>
    <row r="5" spans="2:8" x14ac:dyDescent="0.3">
      <c r="B5" s="5" t="s">
        <v>837</v>
      </c>
      <c r="C5" s="7">
        <v>140393</v>
      </c>
      <c r="E5" s="4" t="s">
        <v>932</v>
      </c>
      <c r="F5" t="s">
        <v>943</v>
      </c>
    </row>
    <row r="6" spans="2:8" x14ac:dyDescent="0.3">
      <c r="B6" s="5" t="s">
        <v>840</v>
      </c>
      <c r="C6" s="7">
        <v>150346</v>
      </c>
      <c r="E6" s="5" t="s">
        <v>877</v>
      </c>
      <c r="F6" s="7">
        <v>97665</v>
      </c>
      <c r="H6">
        <f>CORREL(Orders[Quantity],Orders[diff_order_delivery])</f>
        <v>3.4781737193018245E-3</v>
      </c>
    </row>
    <row r="7" spans="2:8" x14ac:dyDescent="0.3">
      <c r="B7" s="5" t="s">
        <v>841</v>
      </c>
      <c r="C7" s="7">
        <v>157913</v>
      </c>
      <c r="E7" s="5" t="s">
        <v>918</v>
      </c>
      <c r="F7" s="7">
        <v>106624</v>
      </c>
    </row>
    <row r="8" spans="2:8" x14ac:dyDescent="0.3">
      <c r="B8" s="5" t="s">
        <v>839</v>
      </c>
      <c r="C8" s="7">
        <v>135826</v>
      </c>
      <c r="E8" s="5" t="s">
        <v>910</v>
      </c>
      <c r="F8" s="7">
        <v>101556</v>
      </c>
    </row>
    <row r="9" spans="2:8" x14ac:dyDescent="0.3">
      <c r="B9" s="5" t="s">
        <v>795</v>
      </c>
      <c r="C9" s="7">
        <v>737389</v>
      </c>
      <c r="E9" s="5" t="s">
        <v>858</v>
      </c>
      <c r="F9" s="7">
        <v>121905</v>
      </c>
    </row>
    <row r="10" spans="2:8" x14ac:dyDescent="0.3">
      <c r="B10" s="5" t="s">
        <v>843</v>
      </c>
      <c r="C10" s="7">
        <v>136938</v>
      </c>
      <c r="E10" s="5" t="s">
        <v>884</v>
      </c>
      <c r="F10" s="7">
        <v>114476</v>
      </c>
    </row>
    <row r="11" spans="2:8" x14ac:dyDescent="0.3">
      <c r="B11" s="5" t="s">
        <v>845</v>
      </c>
      <c r="C11" s="7">
        <v>151619</v>
      </c>
      <c r="E11" s="5" t="s">
        <v>933</v>
      </c>
      <c r="F11" s="7">
        <v>542226</v>
      </c>
    </row>
    <row r="12" spans="2:8" x14ac:dyDescent="0.3">
      <c r="B12" s="5" t="s">
        <v>822</v>
      </c>
      <c r="C12" s="7">
        <v>449169</v>
      </c>
    </row>
    <row r="13" spans="2:8" x14ac:dyDescent="0.3">
      <c r="B13" s="5" t="s">
        <v>836</v>
      </c>
      <c r="C13" s="7">
        <v>149591</v>
      </c>
    </row>
    <row r="14" spans="2:8" x14ac:dyDescent="0.3">
      <c r="B14" s="5" t="s">
        <v>933</v>
      </c>
      <c r="C14" s="7">
        <v>3520984</v>
      </c>
    </row>
    <row r="18" spans="2:9" x14ac:dyDescent="0.3">
      <c r="B18" s="4" t="s">
        <v>932</v>
      </c>
      <c r="C18" t="s">
        <v>943</v>
      </c>
      <c r="E18" s="4" t="s">
        <v>932</v>
      </c>
      <c r="F18" t="s">
        <v>946</v>
      </c>
      <c r="H18" s="4" t="s">
        <v>932</v>
      </c>
      <c r="I18" t="s">
        <v>943</v>
      </c>
    </row>
    <row r="19" spans="2:9" x14ac:dyDescent="0.3">
      <c r="B19" s="5" t="s">
        <v>868</v>
      </c>
      <c r="C19" s="7">
        <v>329862</v>
      </c>
      <c r="E19" s="5" t="s">
        <v>218</v>
      </c>
      <c r="F19">
        <v>18</v>
      </c>
      <c r="H19" s="5" t="s">
        <v>699</v>
      </c>
      <c r="I19" s="7">
        <v>586176</v>
      </c>
    </row>
    <row r="20" spans="2:9" x14ac:dyDescent="0.3">
      <c r="B20" s="5" t="s">
        <v>863</v>
      </c>
      <c r="C20" s="7">
        <v>1005645</v>
      </c>
      <c r="E20" s="5" t="s">
        <v>152</v>
      </c>
      <c r="F20">
        <v>21</v>
      </c>
      <c r="H20" s="5" t="s">
        <v>698</v>
      </c>
      <c r="I20" s="7">
        <v>674634</v>
      </c>
    </row>
    <row r="21" spans="2:9" x14ac:dyDescent="0.3">
      <c r="B21" s="5" t="s">
        <v>874</v>
      </c>
      <c r="C21" s="7">
        <v>201151</v>
      </c>
      <c r="E21" s="5" t="s">
        <v>32</v>
      </c>
      <c r="F21">
        <v>18</v>
      </c>
      <c r="H21" s="5" t="s">
        <v>707</v>
      </c>
      <c r="I21" s="7">
        <v>408194</v>
      </c>
    </row>
    <row r="22" spans="2:9" x14ac:dyDescent="0.3">
      <c r="B22" s="5" t="s">
        <v>861</v>
      </c>
      <c r="C22" s="7">
        <v>212281</v>
      </c>
      <c r="E22" s="5" t="s">
        <v>324</v>
      </c>
      <c r="F22">
        <v>28</v>
      </c>
      <c r="H22" s="5" t="s">
        <v>829</v>
      </c>
      <c r="I22" s="7">
        <v>313783</v>
      </c>
    </row>
    <row r="23" spans="2:9" x14ac:dyDescent="0.3">
      <c r="B23" s="5" t="s">
        <v>794</v>
      </c>
      <c r="C23" s="7">
        <v>297372</v>
      </c>
      <c r="E23" s="5" t="s">
        <v>230</v>
      </c>
      <c r="F23">
        <v>21</v>
      </c>
      <c r="H23" s="5" t="s">
        <v>701</v>
      </c>
      <c r="I23" s="7">
        <v>574682</v>
      </c>
    </row>
    <row r="24" spans="2:9" x14ac:dyDescent="0.3">
      <c r="B24" s="5" t="s">
        <v>859</v>
      </c>
      <c r="C24" s="7">
        <v>740831</v>
      </c>
      <c r="E24" s="5" t="s">
        <v>301</v>
      </c>
      <c r="F24">
        <v>20</v>
      </c>
      <c r="H24" s="5" t="s">
        <v>794</v>
      </c>
      <c r="I24" s="7">
        <v>631585</v>
      </c>
    </row>
    <row r="25" spans="2:9" x14ac:dyDescent="0.3">
      <c r="B25" s="5" t="s">
        <v>865</v>
      </c>
      <c r="C25" s="7">
        <v>733842</v>
      </c>
      <c r="E25" s="5" t="s">
        <v>188</v>
      </c>
      <c r="F25">
        <v>24</v>
      </c>
      <c r="H25" s="5" t="s">
        <v>620</v>
      </c>
      <c r="I25" s="7">
        <v>331930</v>
      </c>
    </row>
    <row r="26" spans="2:9" x14ac:dyDescent="0.3">
      <c r="B26" s="5" t="s">
        <v>933</v>
      </c>
      <c r="C26" s="7">
        <v>3520984</v>
      </c>
      <c r="E26" s="5" t="s">
        <v>307</v>
      </c>
      <c r="F26">
        <v>29</v>
      </c>
      <c r="H26" s="5" t="s">
        <v>933</v>
      </c>
      <c r="I26" s="7">
        <v>3520984</v>
      </c>
    </row>
    <row r="27" spans="2:9" x14ac:dyDescent="0.3">
      <c r="E27" s="5" t="s">
        <v>158</v>
      </c>
      <c r="F27">
        <v>27</v>
      </c>
    </row>
    <row r="28" spans="2:9" x14ac:dyDescent="0.3">
      <c r="E28" s="5" t="s">
        <v>397</v>
      </c>
      <c r="F28">
        <v>19</v>
      </c>
    </row>
    <row r="29" spans="2:9" x14ac:dyDescent="0.3">
      <c r="E29" s="5" t="s">
        <v>933</v>
      </c>
      <c r="F29">
        <v>225</v>
      </c>
    </row>
    <row r="31" spans="2:9" x14ac:dyDescent="0.3">
      <c r="B31" s="4" t="s">
        <v>932</v>
      </c>
      <c r="C31" t="s">
        <v>943</v>
      </c>
    </row>
    <row r="32" spans="2:9" x14ac:dyDescent="0.3">
      <c r="B32" s="5">
        <v>0</v>
      </c>
      <c r="C32" s="7">
        <v>99400</v>
      </c>
    </row>
    <row r="33" spans="2:3" x14ac:dyDescent="0.3">
      <c r="B33" s="5">
        <v>1</v>
      </c>
      <c r="C33" s="7">
        <v>129309</v>
      </c>
    </row>
    <row r="34" spans="2:3" x14ac:dyDescent="0.3">
      <c r="B34" s="5">
        <v>2</v>
      </c>
      <c r="C34" s="7">
        <v>152940</v>
      </c>
    </row>
    <row r="35" spans="2:3" x14ac:dyDescent="0.3">
      <c r="B35" s="5">
        <v>3</v>
      </c>
      <c r="C35" s="7">
        <v>146810</v>
      </c>
    </row>
    <row r="36" spans="2:3" x14ac:dyDescent="0.3">
      <c r="B36" s="5">
        <v>4</v>
      </c>
      <c r="C36" s="7">
        <v>114700</v>
      </c>
    </row>
    <row r="37" spans="2:3" x14ac:dyDescent="0.3">
      <c r="B37" s="5">
        <v>5</v>
      </c>
      <c r="C37" s="7">
        <v>156198</v>
      </c>
    </row>
    <row r="38" spans="2:3" x14ac:dyDescent="0.3">
      <c r="B38" s="5">
        <v>6</v>
      </c>
      <c r="C38" s="7">
        <v>177211</v>
      </c>
    </row>
    <row r="39" spans="2:3" x14ac:dyDescent="0.3">
      <c r="B39" s="5">
        <v>7</v>
      </c>
      <c r="C39" s="7">
        <v>147749</v>
      </c>
    </row>
    <row r="40" spans="2:3" x14ac:dyDescent="0.3">
      <c r="B40" s="5">
        <v>8</v>
      </c>
      <c r="C40" s="7">
        <v>133617</v>
      </c>
    </row>
    <row r="41" spans="2:3" x14ac:dyDescent="0.3">
      <c r="B41" s="5">
        <v>9</v>
      </c>
      <c r="C41" s="7">
        <v>153678</v>
      </c>
    </row>
    <row r="42" spans="2:3" x14ac:dyDescent="0.3">
      <c r="B42" s="5">
        <v>10</v>
      </c>
      <c r="C42" s="7">
        <v>94985</v>
      </c>
    </row>
    <row r="43" spans="2:3" x14ac:dyDescent="0.3">
      <c r="B43" s="5">
        <v>11</v>
      </c>
      <c r="C43" s="7">
        <v>130287</v>
      </c>
    </row>
    <row r="44" spans="2:3" x14ac:dyDescent="0.3">
      <c r="B44" s="5">
        <v>12</v>
      </c>
      <c r="C44" s="7">
        <v>162394</v>
      </c>
    </row>
    <row r="45" spans="2:3" x14ac:dyDescent="0.3">
      <c r="B45" s="5">
        <v>13</v>
      </c>
      <c r="C45" s="7">
        <v>152340</v>
      </c>
    </row>
    <row r="46" spans="2:3" x14ac:dyDescent="0.3">
      <c r="B46" s="5">
        <v>14</v>
      </c>
      <c r="C46" s="7">
        <v>126406</v>
      </c>
    </row>
    <row r="47" spans="2:3" x14ac:dyDescent="0.3">
      <c r="B47" s="5">
        <v>15</v>
      </c>
      <c r="C47" s="7">
        <v>163586</v>
      </c>
    </row>
    <row r="48" spans="2:3" x14ac:dyDescent="0.3">
      <c r="B48" s="5">
        <v>16</v>
      </c>
      <c r="C48" s="7">
        <v>128797</v>
      </c>
    </row>
    <row r="49" spans="2:3" x14ac:dyDescent="0.3">
      <c r="B49" s="5">
        <v>17</v>
      </c>
      <c r="C49" s="7">
        <v>155373</v>
      </c>
    </row>
    <row r="50" spans="2:3" x14ac:dyDescent="0.3">
      <c r="B50" s="5">
        <v>18</v>
      </c>
      <c r="C50" s="7">
        <v>173118</v>
      </c>
    </row>
    <row r="51" spans="2:3" x14ac:dyDescent="0.3">
      <c r="B51" s="5">
        <v>19</v>
      </c>
      <c r="C51" s="7">
        <v>185771</v>
      </c>
    </row>
    <row r="52" spans="2:3" x14ac:dyDescent="0.3">
      <c r="B52" s="5">
        <v>20</v>
      </c>
      <c r="C52" s="7">
        <v>186426</v>
      </c>
    </row>
    <row r="53" spans="2:3" x14ac:dyDescent="0.3">
      <c r="B53" s="5">
        <v>21</v>
      </c>
      <c r="C53" s="7">
        <v>155466</v>
      </c>
    </row>
    <row r="54" spans="2:3" x14ac:dyDescent="0.3">
      <c r="B54" s="5">
        <v>22</v>
      </c>
      <c r="C54" s="7">
        <v>125912</v>
      </c>
    </row>
    <row r="55" spans="2:3" x14ac:dyDescent="0.3">
      <c r="B55" s="5">
        <v>23</v>
      </c>
      <c r="C55" s="7">
        <v>168511</v>
      </c>
    </row>
    <row r="56" spans="2:3" x14ac:dyDescent="0.3">
      <c r="B56" s="5" t="s">
        <v>933</v>
      </c>
      <c r="C56"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D3DA-C0A1-4444-AD65-D7ABCE427197}">
  <dimension ref="A1:AM77"/>
  <sheetViews>
    <sheetView zoomScale="88" workbookViewId="0">
      <selection activeCell="P38" sqref="P38"/>
    </sheetView>
  </sheetViews>
  <sheetFormatPr defaultRowHeight="14.4" x14ac:dyDescent="0.3"/>
  <sheetData>
    <row r="1" spans="1:39"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row>
    <row r="2" spans="1:39"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spans="1:39"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row>
    <row r="5" spans="1:3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row r="7" spans="1:3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pans="1:3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pans="1:3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pans="1:3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pans="1:3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spans="1:3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row>
    <row r="13" spans="1:3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row>
    <row r="14" spans="1:3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row>
    <row r="15" spans="1:3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row>
    <row r="16" spans="1:3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row>
    <row r="18" spans="1:3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row>
    <row r="19" spans="1:3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row>
    <row r="20" spans="1:3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row>
    <row r="22" spans="1:3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row>
    <row r="23" spans="1:3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row>
    <row r="25" spans="1:3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row>
    <row r="26" spans="1:3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row>
    <row r="29" spans="1:3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row>
    <row r="31" spans="1:3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row>
    <row r="32" spans="1:3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row>
    <row r="34" spans="1:39"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row>
    <row r="35" spans="1:3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row>
    <row r="37" spans="1:39"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row>
    <row r="38" spans="1:39"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row>
    <row r="40" spans="1:39"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row>
    <row r="41" spans="1:39"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39"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row>
    <row r="43" spans="1:39"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row>
    <row r="44" spans="1:39"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39"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row>
    <row r="46" spans="1:39"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row>
    <row r="47" spans="1:39"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row>
    <row r="48" spans="1:39"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row>
    <row r="49" spans="1:39"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row>
    <row r="50" spans="1:39"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row>
    <row r="51" spans="1:39"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row>
    <row r="52" spans="1:39"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row>
    <row r="53" spans="1:39"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row>
    <row r="55" spans="1:39"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row>
    <row r="56" spans="1:39"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1:39"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row>
    <row r="58" spans="1:39"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row>
    <row r="59" spans="1:39"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1:39"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row>
    <row r="61" spans="1:39"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row>
    <row r="62" spans="1:39"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1:39"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row>
    <row r="64" spans="1:39"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row>
    <row r="65" spans="1:39"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row>
    <row r="66" spans="1:39"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row>
    <row r="67" spans="1:39"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row>
    <row r="68" spans="1:39"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row>
    <row r="69" spans="1:39"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row>
    <row r="70" spans="1:39"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row>
    <row r="71" spans="1:39"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row>
    <row r="72" spans="1:39"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row>
    <row r="73" spans="1:39"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row>
    <row r="74" spans="1:39"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row>
    <row r="75" spans="1:39"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row>
    <row r="76" spans="1:39"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row>
    <row r="77" spans="1:39"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51EA799-B535-4381-9CFC-CA37382CBAB4}">
  <ds:schemaRefs/>
</ds:datastoreItem>
</file>

<file path=customXml/itemProps2.xml><?xml version="1.0" encoding="utf-8"?>
<ds:datastoreItem xmlns:ds="http://schemas.openxmlformats.org/officeDocument/2006/customXml" ds:itemID="{E4CFEDC0-4572-4A50-9B6E-1BD401054358}">
  <ds:schemaRefs/>
</ds:datastoreItem>
</file>

<file path=customXml/itemProps3.xml><?xml version="1.0" encoding="utf-8"?>
<ds:datastoreItem xmlns:ds="http://schemas.openxmlformats.org/officeDocument/2006/customXml" ds:itemID="{F97621FE-C5F0-4F6D-AEDD-17F82B67827E}">
  <ds:schemaRefs/>
</ds:datastoreItem>
</file>

<file path=customXml/itemProps4.xml><?xml version="1.0" encoding="utf-8"?>
<ds:datastoreItem xmlns:ds="http://schemas.openxmlformats.org/officeDocument/2006/customXml" ds:itemID="{7B43E03C-5E18-4E1E-9445-2E70D97F9330}">
  <ds:schemaRefs/>
</ds:datastoreItem>
</file>

<file path=customXml/itemProps5.xml><?xml version="1.0" encoding="utf-8"?>
<ds:datastoreItem xmlns:ds="http://schemas.openxmlformats.org/officeDocument/2006/customXml" ds:itemID="{EEAA74AD-3FE1-47FB-9593-07E3AACCB121}">
  <ds:schemaRefs/>
</ds:datastoreItem>
</file>

<file path=customXml/itemProps6.xml><?xml version="1.0" encoding="utf-8"?>
<ds:datastoreItem xmlns:ds="http://schemas.openxmlformats.org/officeDocument/2006/customXml" ds:itemID="{B904E3F0-DB4C-42D0-9BF6-0A538ADB62D7}">
  <ds:schemaRefs/>
</ds:datastoreItem>
</file>

<file path=customXml/itemProps7.xml><?xml version="1.0" encoding="utf-8"?>
<ds:datastoreItem xmlns:ds="http://schemas.openxmlformats.org/officeDocument/2006/customXml" ds:itemID="{EACA17F4-9656-40C3-A416-6F160512740A}">
  <ds:schemaRefs/>
</ds:datastoreItem>
</file>

<file path=customXml/itemProps8.xml><?xml version="1.0" encoding="utf-8"?>
<ds:datastoreItem xmlns:ds="http://schemas.openxmlformats.org/officeDocument/2006/customXml" ds:itemID="{7A5FA506-4B3D-4DDA-B9C0-F3F8FFA6195E}">
  <ds:schemaRefs/>
</ds:datastoreItem>
</file>

<file path=customXml/itemProps9.xml><?xml version="1.0" encoding="utf-8"?>
<ds:datastoreItem xmlns:ds="http://schemas.openxmlformats.org/officeDocument/2006/customXml" ds:itemID="{514CDFF0-844F-486D-8B60-8E672E52658E}">
  <ds:schemaRefs/>
</ds:datastoreItem>
</file>

<file path=customXml/itemProps10.xml><?xml version="1.0" encoding="utf-8"?>
<ds:datastoreItem xmlns:ds="http://schemas.openxmlformats.org/officeDocument/2006/customXml" ds:itemID="{EEEDB85F-0A92-4AC6-9703-21CA46F52E85}">
  <ds:schemaRefs/>
</ds:datastoreItem>
</file>

<file path=customXml/itemProps11.xml><?xml version="1.0" encoding="utf-8"?>
<ds:datastoreItem xmlns:ds="http://schemas.openxmlformats.org/officeDocument/2006/customXml" ds:itemID="{5A6D21C5-1940-41C2-B722-324FAA833938}">
  <ds:schemaRefs/>
</ds:datastoreItem>
</file>

<file path=customXml/itemProps12.xml><?xml version="1.0" encoding="utf-8"?>
<ds:datastoreItem xmlns:ds="http://schemas.openxmlformats.org/officeDocument/2006/customXml" ds:itemID="{FF6B97A6-F786-4895-90A5-5663D60D8048}">
  <ds:schemaRefs/>
</ds:datastoreItem>
</file>

<file path=customXml/itemProps13.xml><?xml version="1.0" encoding="utf-8"?>
<ds:datastoreItem xmlns:ds="http://schemas.openxmlformats.org/officeDocument/2006/customXml" ds:itemID="{DBD6DE87-61B3-4851-8B58-F721BE654CE8}">
  <ds:schemaRefs/>
</ds:datastoreItem>
</file>

<file path=customXml/itemProps14.xml><?xml version="1.0" encoding="utf-8"?>
<ds:datastoreItem xmlns:ds="http://schemas.openxmlformats.org/officeDocument/2006/customXml" ds:itemID="{5E6E533D-1124-4BD5-844F-782755FE1A0B}">
  <ds:schemaRefs/>
</ds:datastoreItem>
</file>

<file path=customXml/itemProps15.xml><?xml version="1.0" encoding="utf-8"?>
<ds:datastoreItem xmlns:ds="http://schemas.openxmlformats.org/officeDocument/2006/customXml" ds:itemID="{215FD3B6-DB3D-4643-8FF0-8933FBC22F4D}">
  <ds:schemaRefs/>
</ds:datastoreItem>
</file>

<file path=customXml/itemProps16.xml><?xml version="1.0" encoding="utf-8"?>
<ds:datastoreItem xmlns:ds="http://schemas.openxmlformats.org/officeDocument/2006/customXml" ds:itemID="{6927B3C0-BA05-4EF8-8A7C-FD0F7CE96746}">
  <ds:schemaRefs/>
</ds:datastoreItem>
</file>

<file path=customXml/itemProps17.xml><?xml version="1.0" encoding="utf-8"?>
<ds:datastoreItem xmlns:ds="http://schemas.openxmlformats.org/officeDocument/2006/customXml" ds:itemID="{78707BEC-9EED-4E19-ACF8-60C07329134D}">
  <ds:schemaRefs/>
</ds:datastoreItem>
</file>

<file path=customXml/itemProps18.xml><?xml version="1.0" encoding="utf-8"?>
<ds:datastoreItem xmlns:ds="http://schemas.openxmlformats.org/officeDocument/2006/customXml" ds:itemID="{97D091A7-3D40-4F0B-AB20-E43CE4918AD3}">
  <ds:schemaRefs>
    <ds:schemaRef ds:uri="http://schemas.microsoft.com/DataMashup"/>
  </ds:schemaRefs>
</ds:datastoreItem>
</file>

<file path=customXml/itemProps19.xml><?xml version="1.0" encoding="utf-8"?>
<ds:datastoreItem xmlns:ds="http://schemas.openxmlformats.org/officeDocument/2006/customXml" ds:itemID="{195CE9DF-AA91-4AD5-B445-4D41D8380AD5}">
  <ds:schemaRefs/>
</ds:datastoreItem>
</file>

<file path=customXml/itemProps20.xml><?xml version="1.0" encoding="utf-8"?>
<ds:datastoreItem xmlns:ds="http://schemas.openxmlformats.org/officeDocument/2006/customXml" ds:itemID="{59EC6E3F-310E-4C8B-9611-DDEAB7A76BD1}">
  <ds:schemaRefs/>
</ds:datastoreItem>
</file>

<file path=customXml/itemProps21.xml><?xml version="1.0" encoding="utf-8"?>
<ds:datastoreItem xmlns:ds="http://schemas.openxmlformats.org/officeDocument/2006/customXml" ds:itemID="{3F447409-3C29-4B1C-A325-BD53665329F7}">
  <ds:schemaRefs/>
</ds:datastoreItem>
</file>

<file path=customXml/itemProps22.xml><?xml version="1.0" encoding="utf-8"?>
<ds:datastoreItem xmlns:ds="http://schemas.openxmlformats.org/officeDocument/2006/customXml" ds:itemID="{D446B1D6-7DF2-40C0-AF69-7CEB4C6D0D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fnb datasets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Srishti Saha</dc:creator>
  <cp:lastModifiedBy>Srishti Saha</cp:lastModifiedBy>
  <dcterms:created xsi:type="dcterms:W3CDTF">2025-10-25T02:15:25Z</dcterms:created>
  <dcterms:modified xsi:type="dcterms:W3CDTF">2026-01-10T21:00:45Z</dcterms:modified>
</cp:coreProperties>
</file>